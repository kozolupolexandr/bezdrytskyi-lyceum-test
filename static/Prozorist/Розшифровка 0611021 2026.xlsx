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 Victus\OneDrive\Desktop\НА САЙТ\"/>
    </mc:Choice>
  </mc:AlternateContent>
  <xr:revisionPtr revIDLastSave="0" documentId="8_{D8E747CE-EDEB-4DD3-9F53-4FFA435F6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_xlnm.Print_Area" localSheetId="0">Лист1!$A$1:$L$108</definedName>
    <definedName name="_xlnm.Print_Area" localSheetId="3">Лист4!$A$1:$I$53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H69" i="1" l="1"/>
  <c r="K13" i="1" l="1"/>
  <c r="L12" i="1"/>
  <c r="L11" i="1"/>
  <c r="F71" i="1" l="1"/>
  <c r="H70" i="1"/>
  <c r="I92" i="1" l="1"/>
  <c r="I75" i="1" s="1"/>
  <c r="H60" i="1" l="1"/>
  <c r="F53" i="4" l="1"/>
  <c r="E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26" i="4"/>
  <c r="G25" i="4"/>
  <c r="G24" i="4"/>
  <c r="G23" i="4"/>
  <c r="G22" i="4"/>
  <c r="G21" i="4"/>
  <c r="G20" i="4"/>
  <c r="F19" i="4"/>
  <c r="E19" i="4"/>
  <c r="G18" i="4"/>
  <c r="G17" i="4"/>
  <c r="G16" i="4"/>
  <c r="G15" i="4"/>
  <c r="G14" i="4"/>
  <c r="G13" i="4" s="1"/>
  <c r="F13" i="4"/>
  <c r="E13" i="4"/>
  <c r="G12" i="4"/>
  <c r="G11" i="4"/>
  <c r="G10" i="4"/>
  <c r="G9" i="4"/>
  <c r="G8" i="4" s="1"/>
  <c r="F8" i="4"/>
  <c r="E8" i="4"/>
  <c r="F27" i="4" l="1"/>
  <c r="E27" i="4"/>
  <c r="G53" i="4"/>
  <c r="H36" i="4" s="1"/>
  <c r="G19" i="4"/>
  <c r="G27" i="4" l="1"/>
  <c r="H4" i="4" s="1"/>
  <c r="G30" i="1"/>
  <c r="F30" i="1"/>
  <c r="G35" i="1"/>
  <c r="G43" i="1" s="1"/>
  <c r="F43" i="1" l="1"/>
  <c r="G71" i="1"/>
  <c r="E23" i="2"/>
  <c r="E20" i="2"/>
  <c r="E17" i="2"/>
  <c r="E14" i="2"/>
  <c r="L12" i="2"/>
  <c r="K12" i="2"/>
  <c r="J12" i="2"/>
  <c r="I12" i="2"/>
  <c r="H12" i="2"/>
  <c r="G12" i="2"/>
  <c r="F12" i="2"/>
  <c r="E12" i="2"/>
  <c r="D12" i="2"/>
  <c r="C12" i="2"/>
  <c r="M11" i="2"/>
  <c r="M10" i="2"/>
  <c r="M12" i="2" l="1"/>
  <c r="E28" i="2" s="1"/>
  <c r="I6" i="2" s="1"/>
  <c r="E29" i="2"/>
  <c r="I7" i="2" s="1"/>
  <c r="H42" i="1"/>
  <c r="G33" i="2" l="1"/>
  <c r="H41" i="1" l="1"/>
  <c r="H34" i="1"/>
  <c r="H33" i="1"/>
  <c r="H32" i="1"/>
  <c r="H31" i="1"/>
  <c r="H30" i="1" l="1"/>
  <c r="H36" i="1"/>
  <c r="H37" i="1"/>
  <c r="H38" i="1"/>
  <c r="H35" i="1" l="1"/>
  <c r="H39" i="1"/>
  <c r="E18" i="1" l="1"/>
  <c r="E15" i="1"/>
  <c r="J13" i="1"/>
  <c r="I13" i="1"/>
  <c r="H13" i="1"/>
  <c r="G13" i="1"/>
  <c r="F13" i="1"/>
  <c r="E13" i="1"/>
  <c r="D13" i="1"/>
  <c r="C13" i="1"/>
  <c r="L13" i="1" l="1"/>
  <c r="E22" i="1" s="1"/>
  <c r="H68" i="1"/>
  <c r="H67" i="1"/>
  <c r="H66" i="1"/>
  <c r="H65" i="1"/>
  <c r="H64" i="1"/>
  <c r="H63" i="1"/>
  <c r="H62" i="1"/>
  <c r="H61" i="1"/>
  <c r="H59" i="1"/>
  <c r="H58" i="1"/>
  <c r="H57" i="1"/>
  <c r="H56" i="1"/>
  <c r="H40" i="1"/>
  <c r="H43" i="1" s="1"/>
  <c r="H71" i="1" l="1"/>
  <c r="I52" i="1" s="1"/>
  <c r="I7" i="1" l="1"/>
  <c r="I6" i="1"/>
  <c r="I26" i="1"/>
  <c r="G102" i="1" l="1"/>
</calcChain>
</file>

<file path=xl/sharedStrings.xml><?xml version="1.0" encoding="utf-8"?>
<sst xmlns="http://schemas.openxmlformats.org/spreadsheetml/2006/main" count="197" uniqueCount="117">
  <si>
    <t>2111</t>
  </si>
  <si>
    <t>2120</t>
  </si>
  <si>
    <t>Начальник</t>
  </si>
  <si>
    <t>Головний бухгалтер</t>
  </si>
  <si>
    <t>Назва видатків КЕКВ</t>
  </si>
  <si>
    <t>"Заробітна плата"</t>
  </si>
  <si>
    <t>"Нарахування на заробітну плату"</t>
  </si>
  <si>
    <t>Бездрик</t>
  </si>
  <si>
    <t>Токарі</t>
  </si>
  <si>
    <t>Разом за місяць</t>
  </si>
  <si>
    <t>ФЗП за фактичні години</t>
  </si>
  <si>
    <t>Надбавка (престижність)</t>
  </si>
  <si>
    <t>Надбавка за вислугу років</t>
  </si>
  <si>
    <t>Нічні</t>
  </si>
  <si>
    <t>Всього ФЗП за рік</t>
  </si>
  <si>
    <t>Матеріальна допомога на оздоровлення</t>
  </si>
  <si>
    <t>Річна премія</t>
  </si>
  <si>
    <t xml:space="preserve">Бездрик </t>
  </si>
  <si>
    <t>Умовна доплата</t>
  </si>
  <si>
    <t>Найменування</t>
  </si>
  <si>
    <t>Разом</t>
  </si>
  <si>
    <t>Канцтовари</t>
  </si>
  <si>
    <t>Друковані книги та зошити</t>
  </si>
  <si>
    <t>Папір</t>
  </si>
  <si>
    <t>Інвентар для прибирання</t>
  </si>
  <si>
    <t>Придбання столового та чайного посуду</t>
  </si>
  <si>
    <t>Сума</t>
  </si>
  <si>
    <t>Ручки, стержні</t>
  </si>
  <si>
    <t>Папки, файли</t>
  </si>
  <si>
    <t>Миючі засоби та господарські товари</t>
  </si>
  <si>
    <t>Миючі, чистячі засоби</t>
  </si>
  <si>
    <t xml:space="preserve">Інші господарські товари </t>
  </si>
  <si>
    <t>Всього</t>
  </si>
  <si>
    <t>КЕКВ 2220 "Медикаменти та перевязувальні матеріали"</t>
  </si>
  <si>
    <t>ТО сигналізації загазованості</t>
  </si>
  <si>
    <t>Повірка вагів</t>
  </si>
  <si>
    <t>Перевірка обладнання на опір</t>
  </si>
  <si>
    <t>ТО внутрішніх газопроводів</t>
  </si>
  <si>
    <t>Обслуговування вогнегасників</t>
  </si>
  <si>
    <t>заправка катриджів</t>
  </si>
  <si>
    <t>Атестація робочих місць, навчання працівників котелень</t>
  </si>
  <si>
    <t>оплата послуг зв'язку,  Інтернет</t>
  </si>
  <si>
    <t>Дератизація та дезінсекція</t>
  </si>
  <si>
    <r>
      <t>КЕКВ 2270</t>
    </r>
    <r>
      <rPr>
        <sz val="14"/>
        <color theme="1"/>
        <rFont val="Times New Roman"/>
        <family val="1"/>
        <charset val="204"/>
      </rPr>
      <t xml:space="preserve"> «Оплата комунальних послуг»    </t>
    </r>
  </si>
  <si>
    <t>Реактивна електроенергія</t>
  </si>
  <si>
    <t xml:space="preserve"> </t>
  </si>
  <si>
    <r>
      <t>КЕКВ 2275</t>
    </r>
    <r>
      <rPr>
        <sz val="14"/>
        <color theme="1"/>
        <rFont val="Times New Roman"/>
        <family val="1"/>
        <charset val="204"/>
      </rPr>
      <t xml:space="preserve"> Оплата інших енергоносіїв</t>
    </r>
  </si>
  <si>
    <t xml:space="preserve">Токарі </t>
  </si>
  <si>
    <t xml:space="preserve">          </t>
  </si>
  <si>
    <r>
      <t>КЕКВ 2272 «</t>
    </r>
    <r>
      <rPr>
        <sz val="14"/>
        <color theme="1"/>
        <rFont val="Times New Roman"/>
        <family val="1"/>
        <charset val="204"/>
      </rPr>
      <t xml:space="preserve">Оплата водопостачання та водовідведення»          </t>
    </r>
  </si>
  <si>
    <r>
      <t xml:space="preserve">КЕКВ 2273 </t>
    </r>
    <r>
      <rPr>
        <sz val="14"/>
        <color theme="1"/>
        <rFont val="Times New Roman"/>
        <family val="1"/>
        <charset val="204"/>
      </rPr>
      <t xml:space="preserve">Оплата електроенергії :                                               </t>
    </r>
  </si>
  <si>
    <r>
      <t xml:space="preserve"> КЕКВ 2274</t>
    </r>
    <r>
      <rPr>
        <sz val="14"/>
        <color theme="1"/>
        <rFont val="Times New Roman"/>
        <family val="1"/>
        <charset val="204"/>
      </rPr>
      <t xml:space="preserve"> Оплата природного газу:                                           </t>
    </r>
  </si>
  <si>
    <t xml:space="preserve">РАЗОМ </t>
  </si>
  <si>
    <t>Класне керівництво</t>
  </si>
  <si>
    <t>Завідування кабінетами</t>
  </si>
  <si>
    <t>Гуртки, позакласна робота, комп.</t>
  </si>
  <si>
    <t>Курси за вибором, факультатив</t>
  </si>
  <si>
    <t>Інклюзивні години</t>
  </si>
  <si>
    <t>Щорічна винагорода</t>
  </si>
  <si>
    <t>Заміни</t>
  </si>
  <si>
    <t>За перевірку зошитів</t>
  </si>
  <si>
    <t>Обслуговуючий персонал</t>
  </si>
  <si>
    <t>За особливі умови праці</t>
  </si>
  <si>
    <t>Доплата до мінімальної з/п</t>
  </si>
  <si>
    <t>Доплата до мінімальної з/п за сумісництвом</t>
  </si>
  <si>
    <t>Шкідливі умови</t>
  </si>
  <si>
    <t>КЕКВ 2210 "Предмети і матеріали"</t>
  </si>
  <si>
    <t>Мило туалетне</t>
  </si>
  <si>
    <t>Спецодяг для техперсоналу</t>
  </si>
  <si>
    <t>тарілка для других страв 100*35,00</t>
  </si>
  <si>
    <t>Придбання шкільного та спортивного одягу дітям сиротам</t>
  </si>
  <si>
    <r>
      <t xml:space="preserve"> КЕКВ 2230 «Продукти харчування»</t>
    </r>
    <r>
      <rPr>
        <b/>
        <sz val="14"/>
        <color theme="1"/>
        <rFont val="Times New Roman"/>
        <family val="1"/>
        <charset val="204"/>
      </rPr>
      <t/>
    </r>
  </si>
  <si>
    <r>
      <t>КЕКВ 2240 «Оплата послуг (крім комунальних)»</t>
    </r>
    <r>
      <rPr>
        <b/>
        <sz val="14"/>
        <color theme="1"/>
        <rFont val="Times New Roman"/>
        <family val="1"/>
        <charset val="204"/>
      </rPr>
      <t/>
    </r>
  </si>
  <si>
    <t xml:space="preserve"> Індивідуальні години (Інші доплати)</t>
  </si>
  <si>
    <t>індексація</t>
  </si>
  <si>
    <t>тарілка для перших страв 100*35,00</t>
  </si>
  <si>
    <t>чашка 120*25,00</t>
  </si>
  <si>
    <t>Будівельні матеріали</t>
  </si>
  <si>
    <t>КПКВК МБ 0611031 "Надання загальної середньої освіти закладами загальної середньої освіти"</t>
  </si>
  <si>
    <t>Наталія ДУДЧЕНКО</t>
  </si>
  <si>
    <t>Юлія ЩЕРБОНОС</t>
  </si>
  <si>
    <t>Розшифровка до бюджету на 2021 рік</t>
  </si>
  <si>
    <t>КПКВК МБ 0611021 "Надання загальної середньої освіти закладами загальної середньої освіти"</t>
  </si>
  <si>
    <t>Індексація</t>
  </si>
  <si>
    <t>технічне обслуговування пожежної сигналізації</t>
  </si>
  <si>
    <t>обслуговування котелень ЗОШ (ТО Котелень та ТО Аймодів)</t>
  </si>
  <si>
    <t>ТО системи питної води</t>
  </si>
  <si>
    <t>Медичнийогляд працівників</t>
  </si>
  <si>
    <t>Розшифровка до  бюджету на 2022 рік</t>
  </si>
  <si>
    <t>11400,00 (57%)</t>
  </si>
  <si>
    <t>8600,00 (43%)</t>
  </si>
  <si>
    <r>
      <t>Токарі: S=1300 м</t>
    </r>
    <r>
      <rPr>
        <b/>
        <sz val="10"/>
        <rFont val="Calibri"/>
        <family val="2"/>
        <charset val="204"/>
      </rPr>
      <t>²</t>
    </r>
    <r>
      <rPr>
        <b/>
        <sz val="10"/>
        <rFont val="Arial Cyr"/>
        <charset val="204"/>
      </rPr>
      <t xml:space="preserve"> -36%; 149 учнів - 43%; тех.персонал 13 - 45%; пед.працівники - 21 чол. - 44%</t>
    </r>
  </si>
  <si>
    <r>
      <t>Бездрик: S=2400 м</t>
    </r>
    <r>
      <rPr>
        <b/>
        <sz val="11"/>
        <color theme="1"/>
        <rFont val="Calibri"/>
        <family val="2"/>
        <charset val="204"/>
      </rPr>
      <t>² - 64%; 202 учні - 57%; тех.персонал 16 чол.- 55% ; пед.прац. - 27 - 56%</t>
    </r>
  </si>
  <si>
    <t>Електрофрезер</t>
  </si>
  <si>
    <t>Мольберт</t>
  </si>
  <si>
    <t>Програма для ЗЗСО "Курс:Школа" та ЄДБО</t>
  </si>
  <si>
    <t>КПКВК МБ 0611021 "Надання загальної середньої освіти закладами загальної середньої освіти за рахунок коштів місцевого бюджету"</t>
  </si>
  <si>
    <t>Інші доплати (премія і завідування бібліотекою)</t>
  </si>
  <si>
    <r>
      <t>Бездрик: S=2400 м</t>
    </r>
    <r>
      <rPr>
        <b/>
        <sz val="11"/>
        <color theme="1"/>
        <rFont val="Calibri"/>
        <family val="2"/>
        <charset val="204"/>
      </rPr>
      <t>² - 64%; 189 учні - 58%; тех.персонал 16 чол.- 55% ; пед.прац. - 25 - 53%</t>
    </r>
  </si>
  <si>
    <r>
      <t>Токарі: S=1300 м</t>
    </r>
    <r>
      <rPr>
        <b/>
        <sz val="10"/>
        <rFont val="Calibri"/>
        <family val="2"/>
        <charset val="204"/>
      </rPr>
      <t>²</t>
    </r>
    <r>
      <rPr>
        <b/>
        <sz val="10"/>
        <rFont val="Arial Cyr"/>
        <charset val="204"/>
      </rPr>
      <t xml:space="preserve"> -36%; 135 учнів - 42%; тех.персонал 13 - 45%; пед.працівники - 22 чол. - 47%</t>
    </r>
  </si>
  <si>
    <r>
      <rPr>
        <sz val="7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Вивіз ТПВ  48куб.*153,34</t>
    </r>
  </si>
  <si>
    <t>Бездрик (1 пол.опалювального сезону)  -37500 куб* 18,37=688875,00</t>
  </si>
  <si>
    <t>Надбавка за класність (водій)</t>
  </si>
  <si>
    <t>ТО тривожної кнопки</t>
  </si>
  <si>
    <t>Розшифровка до  бюджету на 2026 рік</t>
  </si>
  <si>
    <t>Бездрик – 1600 куб*34,65=55440,00</t>
  </si>
  <si>
    <t>Токарі- 620*7,63=4729,00</t>
  </si>
  <si>
    <t>Токарі= 20000*12,00=240000,00</t>
  </si>
  <si>
    <t>Бездрик= 30000*12,00=360000,00</t>
  </si>
  <si>
    <t>Бездрик  -25710,00</t>
  </si>
  <si>
    <t>Вивіз ТПВ 28 куб * 340,50</t>
  </si>
  <si>
    <t>Бездрик – 166 дітей*175 днів* 10,00грн=290500</t>
  </si>
  <si>
    <t>Токарі- 121 дітей*175 днів*10,00 грн=211750</t>
  </si>
  <si>
    <r>
      <t xml:space="preserve"> КЕКВ 2282</t>
    </r>
    <r>
      <rPr>
        <sz val="14"/>
        <color theme="1"/>
        <rFont val="Times New Roman"/>
        <family val="1"/>
        <charset val="204"/>
      </rPr>
      <t xml:space="preserve"> Окремі заходи по реалізації державних (регіональних) програм, не віднесені до заходів розвитку                                           </t>
    </r>
  </si>
  <si>
    <t>Навчання кочегарів</t>
  </si>
  <si>
    <t>Бездрик (2 пол.опалювального сезону)  -17500 куб* 18,37=321475,00</t>
  </si>
  <si>
    <t xml:space="preserve">ЄСВ на дектерні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</si>
</sst>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204"/>
      <scheme val="minor"/>
    </font>
    <font>
      <sz val="14"/>
      <name val="Arial Cyr"/>
      <family val="2"/>
      <charset val="204"/>
    </font>
    <font>
      <sz val="12"/>
      <name val="Arial Cyr"/>
      <family val="2"/>
      <charset val="204"/>
    </font>
    <font>
      <b/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u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name val="Arial Cyr"/>
      <family val="2"/>
      <charset val="204"/>
    </font>
    <font>
      <sz val="13"/>
      <name val="Arial Cyr"/>
      <family val="2"/>
      <charset val="204"/>
    </font>
    <font>
      <sz val="13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name val="Arial Cyr"/>
      <family val="2"/>
      <charset val="204"/>
    </font>
    <font>
      <b/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2.5"/>
      <name val="Times New Roman"/>
      <family val="1"/>
      <charset val="204"/>
    </font>
    <font>
      <sz val="12.5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 applyBorder="1"/>
    <xf numFmtId="0" fontId="0" fillId="0" borderId="0" xfId="0" applyBorder="1"/>
    <xf numFmtId="49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2" fontId="3" fillId="0" borderId="0" xfId="0" applyNumberFormat="1" applyFont="1" applyBorder="1"/>
    <xf numFmtId="0" fontId="3" fillId="0" borderId="5" xfId="0" applyFont="1" applyBorder="1"/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0" fillId="0" borderId="0" xfId="0" applyNumberFormat="1" applyBorder="1"/>
    <xf numFmtId="0" fontId="3" fillId="0" borderId="10" xfId="0" applyFont="1" applyFill="1" applyBorder="1"/>
    <xf numFmtId="1" fontId="10" fillId="0" borderId="0" xfId="0" applyNumberFormat="1" applyFont="1"/>
    <xf numFmtId="0" fontId="8" fillId="0" borderId="0" xfId="0" applyFont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 indent="5"/>
    </xf>
    <xf numFmtId="0" fontId="9" fillId="0" borderId="0" xfId="0" applyFont="1"/>
    <xf numFmtId="2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15" fillId="2" borderId="1" xfId="0" applyNumberFormat="1" applyFont="1" applyFill="1" applyBorder="1" applyAlignment="1">
      <alignment horizontal="center"/>
    </xf>
    <xf numFmtId="2" fontId="15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11" fillId="0" borderId="0" xfId="0" applyFont="1"/>
    <xf numFmtId="2" fontId="8" fillId="0" borderId="0" xfId="0" applyNumberFormat="1" applyFont="1"/>
    <xf numFmtId="2" fontId="7" fillId="0" borderId="0" xfId="0" applyNumberFormat="1" applyFont="1"/>
    <xf numFmtId="0" fontId="17" fillId="0" borderId="0" xfId="0" applyFont="1"/>
    <xf numFmtId="0" fontId="7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2" fontId="7" fillId="0" borderId="1" xfId="0" applyNumberFormat="1" applyFont="1" applyBorder="1"/>
    <xf numFmtId="2" fontId="11" fillId="4" borderId="1" xfId="0" applyNumberFormat="1" applyFont="1" applyFill="1" applyBorder="1"/>
    <xf numFmtId="0" fontId="3" fillId="0" borderId="1" xfId="0" applyFont="1" applyFill="1" applyBorder="1"/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Fill="1" applyBorder="1"/>
    <xf numFmtId="2" fontId="0" fillId="0" borderId="0" xfId="0" applyNumberFormat="1"/>
    <xf numFmtId="49" fontId="16" fillId="0" borderId="0" xfId="0" applyNumberFormat="1" applyFont="1" applyAlignment="1">
      <alignment horizontal="center"/>
    </xf>
    <xf numFmtId="0" fontId="9" fillId="0" borderId="0" xfId="0" applyFont="1" applyAlignment="1"/>
    <xf numFmtId="2" fontId="3" fillId="0" borderId="1" xfId="0" applyNumberFormat="1" applyFont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0" fontId="9" fillId="0" borderId="0" xfId="0" applyFont="1" applyAlignment="1"/>
    <xf numFmtId="2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22" fillId="0" borderId="0" xfId="0" applyFont="1"/>
    <xf numFmtId="1" fontId="23" fillId="0" borderId="0" xfId="0" applyNumberFormat="1" applyFont="1"/>
    <xf numFmtId="2" fontId="5" fillId="3" borderId="1" xfId="0" applyNumberFormat="1" applyFont="1" applyFill="1" applyBorder="1" applyAlignment="1">
      <alignment horizontal="center"/>
    </xf>
    <xf numFmtId="0" fontId="24" fillId="0" borderId="0" xfId="0" applyFont="1"/>
    <xf numFmtId="2" fontId="25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 wrapText="1"/>
    </xf>
    <xf numFmtId="0" fontId="24" fillId="0" borderId="3" xfId="0" applyFont="1" applyBorder="1" applyAlignment="1">
      <alignment wrapText="1"/>
    </xf>
    <xf numFmtId="0" fontId="24" fillId="0" borderId="5" xfId="0" applyFont="1" applyBorder="1" applyAlignment="1">
      <alignment wrapText="1"/>
    </xf>
    <xf numFmtId="2" fontId="1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/>
    <xf numFmtId="2" fontId="8" fillId="3" borderId="1" xfId="0" applyNumberFormat="1" applyFont="1" applyFill="1" applyBorder="1"/>
    <xf numFmtId="2" fontId="26" fillId="2" borderId="1" xfId="0" applyNumberFormat="1" applyFont="1" applyFill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2" fontId="26" fillId="3" borderId="1" xfId="0" applyNumberFormat="1" applyFont="1" applyFill="1" applyBorder="1" applyAlignment="1">
      <alignment horizontal="center"/>
    </xf>
    <xf numFmtId="2" fontId="16" fillId="3" borderId="1" xfId="0" applyNumberFormat="1" applyFont="1" applyFill="1" applyBorder="1" applyAlignment="1">
      <alignment horizontal="center"/>
    </xf>
    <xf numFmtId="2" fontId="26" fillId="0" borderId="1" xfId="0" applyNumberFormat="1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2" fontId="25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49" fontId="16" fillId="0" borderId="0" xfId="0" applyNumberFormat="1" applyFont="1" applyAlignment="1">
      <alignment horizontal="center"/>
    </xf>
    <xf numFmtId="0" fontId="9" fillId="0" borderId="0" xfId="0" applyFont="1" applyAlignment="1"/>
    <xf numFmtId="0" fontId="10" fillId="0" borderId="0" xfId="0" applyFont="1" applyAlignment="1">
      <alignment vertical="center"/>
    </xf>
    <xf numFmtId="2" fontId="13" fillId="0" borderId="1" xfId="0" applyNumberFormat="1" applyFont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0" fontId="14" fillId="0" borderId="0" xfId="0" applyFont="1"/>
    <xf numFmtId="0" fontId="26" fillId="0" borderId="0" xfId="0" applyFont="1" applyAlignment="1"/>
    <xf numFmtId="49" fontId="13" fillId="0" borderId="0" xfId="0" applyNumberFormat="1" applyFont="1" applyAlignment="1">
      <alignment horizontal="center"/>
    </xf>
    <xf numFmtId="49" fontId="13" fillId="0" borderId="0" xfId="0" applyNumberFormat="1" applyFont="1"/>
    <xf numFmtId="0" fontId="13" fillId="0" borderId="0" xfId="0" applyFont="1"/>
    <xf numFmtId="0" fontId="7" fillId="0" borderId="1" xfId="0" applyFont="1" applyBorder="1" applyAlignment="1">
      <alignment wrapText="1"/>
    </xf>
    <xf numFmtId="0" fontId="10" fillId="0" borderId="0" xfId="0" applyFont="1" applyAlignment="1">
      <alignment vertical="center"/>
    </xf>
    <xf numFmtId="2" fontId="31" fillId="0" borderId="0" xfId="0" applyNumberFormat="1" applyFont="1"/>
    <xf numFmtId="0" fontId="10" fillId="0" borderId="0" xfId="0" applyFont="1" applyAlignment="1">
      <alignment vertical="center"/>
    </xf>
    <xf numFmtId="0" fontId="35" fillId="0" borderId="0" xfId="0" applyFont="1"/>
    <xf numFmtId="0" fontId="36" fillId="0" borderId="0" xfId="0" applyFont="1"/>
    <xf numFmtId="2" fontId="36" fillId="0" borderId="0" xfId="0" applyNumberFormat="1" applyFont="1"/>
    <xf numFmtId="0" fontId="10" fillId="4" borderId="1" xfId="0" applyFont="1" applyFill="1" applyBorder="1" applyAlignment="1"/>
    <xf numFmtId="49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/>
    <xf numFmtId="49" fontId="13" fillId="0" borderId="2" xfId="0" applyNumberFormat="1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49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0" fontId="14" fillId="0" borderId="1" xfId="0" applyFont="1" applyBorder="1" applyAlignment="1"/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49" fontId="30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9" fontId="33" fillId="0" borderId="0" xfId="0" applyNumberFormat="1" applyFont="1" applyAlignment="1">
      <alignment horizontal="left" wrapText="1"/>
    </xf>
    <xf numFmtId="0" fontId="34" fillId="0" borderId="0" xfId="0" applyFont="1" applyAlignment="1">
      <alignment horizontal="left" wrapText="1"/>
    </xf>
    <xf numFmtId="0" fontId="2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 wrapText="1"/>
    </xf>
    <xf numFmtId="0" fontId="0" fillId="0" borderId="4" xfId="0" applyBorder="1" applyAlignment="1">
      <alignment wrapText="1"/>
    </xf>
    <xf numFmtId="49" fontId="2" fillId="0" borderId="9" xfId="0" applyNumberFormat="1" applyFont="1" applyBorder="1" applyAlignment="1">
      <alignment horizontal="center" wrapText="1"/>
    </xf>
    <xf numFmtId="0" fontId="0" fillId="0" borderId="9" xfId="0" applyBorder="1" applyAlignment="1">
      <alignment wrapText="1"/>
    </xf>
    <xf numFmtId="49" fontId="2" fillId="0" borderId="11" xfId="0" applyNumberFormat="1" applyFont="1" applyBorder="1" applyAlignment="1">
      <alignment horizontal="center"/>
    </xf>
    <xf numFmtId="0" fontId="0" fillId="0" borderId="11" xfId="0" applyBorder="1" applyAlignment="1"/>
    <xf numFmtId="49" fontId="2" fillId="0" borderId="7" xfId="0" applyNumberFormat="1" applyFont="1" applyBorder="1" applyAlignment="1">
      <alignment horizontal="center"/>
    </xf>
    <xf numFmtId="0" fontId="0" fillId="0" borderId="7" xfId="0" applyBorder="1" applyAlignment="1"/>
    <xf numFmtId="49" fontId="26" fillId="0" borderId="0" xfId="0" applyNumberFormat="1" applyFont="1" applyAlignment="1">
      <alignment horizontal="center"/>
    </xf>
    <xf numFmtId="0" fontId="10" fillId="0" borderId="0" xfId="0" applyFont="1" applyAlignment="1"/>
    <xf numFmtId="49" fontId="6" fillId="3" borderId="2" xfId="0" applyNumberFormat="1" applyFont="1" applyFill="1" applyBorder="1" applyAlignment="1">
      <alignment horizontal="center" wrapText="1"/>
    </xf>
    <xf numFmtId="49" fontId="6" fillId="3" borderId="3" xfId="0" applyNumberFormat="1" applyFont="1" applyFill="1" applyBorder="1" applyAlignment="1">
      <alignment horizontal="center" wrapText="1"/>
    </xf>
    <xf numFmtId="49" fontId="6" fillId="3" borderId="5" xfId="0" applyNumberFormat="1" applyFont="1" applyFill="1" applyBorder="1" applyAlignment="1">
      <alignment horizontal="center" wrapText="1"/>
    </xf>
    <xf numFmtId="0" fontId="24" fillId="3" borderId="3" xfId="0" applyFont="1" applyFill="1" applyBorder="1" applyAlignment="1">
      <alignment wrapText="1"/>
    </xf>
    <xf numFmtId="0" fontId="24" fillId="3" borderId="5" xfId="0" applyFont="1" applyFill="1" applyBorder="1" applyAlignment="1">
      <alignment wrapText="1"/>
    </xf>
    <xf numFmtId="2" fontId="17" fillId="0" borderId="0" xfId="0" applyNumberFormat="1" applyFont="1" applyAlignment="1"/>
    <xf numFmtId="0" fontId="0" fillId="0" borderId="0" xfId="0" applyAlignment="1"/>
    <xf numFmtId="0" fontId="10" fillId="0" borderId="0" xfId="0" applyFont="1" applyAlignment="1">
      <alignment vertical="center"/>
    </xf>
    <xf numFmtId="0" fontId="7" fillId="0" borderId="0" xfId="0" applyFont="1" applyAlignment="1"/>
    <xf numFmtId="49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/>
    <xf numFmtId="49" fontId="6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2" fontId="13" fillId="0" borderId="2" xfId="0" applyNumberFormat="1" applyFont="1" applyBorder="1" applyAlignment="1">
      <alignment horizontal="center"/>
    </xf>
    <xf numFmtId="2" fontId="13" fillId="0" borderId="5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/>
    <xf numFmtId="0" fontId="0" fillId="3" borderId="5" xfId="0" applyFill="1" applyBorder="1" applyAlignment="1"/>
    <xf numFmtId="49" fontId="2" fillId="0" borderId="2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/>
    <xf numFmtId="49" fontId="19" fillId="0" borderId="0" xfId="0" applyNumberFormat="1" applyFont="1" applyAlignment="1">
      <alignment horizontal="center"/>
    </xf>
    <xf numFmtId="0" fontId="18" fillId="0" borderId="0" xfId="0" applyFont="1" applyAlignment="1"/>
    <xf numFmtId="49" fontId="20" fillId="0" borderId="0" xfId="0" applyNumberFormat="1" applyFont="1" applyAlignment="1">
      <alignment horizontal="center"/>
    </xf>
    <xf numFmtId="0" fontId="21" fillId="0" borderId="0" xfId="0" applyFont="1" applyAlignment="1"/>
    <xf numFmtId="49" fontId="6" fillId="0" borderId="2" xfId="0" applyNumberFormat="1" applyFont="1" applyBorder="1" applyAlignment="1">
      <alignment horizontal="center" wrapText="1"/>
    </xf>
    <xf numFmtId="49" fontId="6" fillId="3" borderId="3" xfId="0" applyNumberFormat="1" applyFont="1" applyFill="1" applyBorder="1" applyAlignment="1">
      <alignment horizontal="center"/>
    </xf>
    <xf numFmtId="49" fontId="6" fillId="3" borderId="5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10" fillId="3" borderId="1" xfId="0" applyFont="1" applyFill="1" applyBorder="1" applyAlignment="1"/>
    <xf numFmtId="49" fontId="6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4" fillId="0" borderId="3" xfId="0" applyFont="1" applyBorder="1" applyAlignment="1">
      <alignment wrapText="1"/>
    </xf>
    <xf numFmtId="0" fontId="24" fillId="0" borderId="5" xfId="0" applyFont="1" applyBorder="1" applyAlignment="1">
      <alignment wrapText="1"/>
    </xf>
    <xf numFmtId="2" fontId="1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0" fontId="9" fillId="0" borderId="0" xfId="0" applyFont="1" applyAlignment="1"/>
    <xf numFmtId="49" fontId="30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49" fontId="31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8"/>
  <sheetViews>
    <sheetView tabSelected="1" view="pageBreakPreview" zoomScaleNormal="100" zoomScaleSheetLayoutView="100" workbookViewId="0">
      <selection activeCell="I64" sqref="I64"/>
    </sheetView>
  </sheetViews>
  <sheetFormatPr defaultRowHeight="14.4" x14ac:dyDescent="0.3"/>
  <cols>
    <col min="1" max="1" width="3.5546875" customWidth="1"/>
    <col min="2" max="2" width="10.6640625" customWidth="1"/>
    <col min="3" max="3" width="13" customWidth="1"/>
    <col min="4" max="4" width="12.109375" customWidth="1"/>
    <col min="5" max="5" width="12.33203125" customWidth="1"/>
    <col min="6" max="6" width="13" customWidth="1"/>
    <col min="7" max="7" width="13.33203125" customWidth="1"/>
    <col min="8" max="8" width="11.5546875" customWidth="1"/>
    <col min="9" max="9" width="13.5546875" customWidth="1"/>
    <col min="10" max="11" width="12.33203125" customWidth="1"/>
    <col min="12" max="12" width="15" customWidth="1"/>
    <col min="13" max="13" width="17.44140625" customWidth="1"/>
    <col min="14" max="14" width="13" bestFit="1" customWidth="1"/>
    <col min="259" max="259" width="5.33203125" customWidth="1"/>
    <col min="260" max="260" width="10.44140625" customWidth="1"/>
    <col min="261" max="261" width="39.88671875" customWidth="1"/>
    <col min="263" max="263" width="14.6640625" customWidth="1"/>
    <col min="265" max="265" width="15.5546875" customWidth="1"/>
    <col min="515" max="515" width="5.33203125" customWidth="1"/>
    <col min="516" max="516" width="10.44140625" customWidth="1"/>
    <col min="517" max="517" width="39.88671875" customWidth="1"/>
    <col min="519" max="519" width="14.6640625" customWidth="1"/>
    <col min="521" max="521" width="15.5546875" customWidth="1"/>
    <col min="771" max="771" width="5.33203125" customWidth="1"/>
    <col min="772" max="772" width="10.44140625" customWidth="1"/>
    <col min="773" max="773" width="39.88671875" customWidth="1"/>
    <col min="775" max="775" width="14.6640625" customWidth="1"/>
    <col min="777" max="777" width="15.5546875" customWidth="1"/>
    <col min="1027" max="1027" width="5.33203125" customWidth="1"/>
    <col min="1028" max="1028" width="10.44140625" customWidth="1"/>
    <col min="1029" max="1029" width="39.88671875" customWidth="1"/>
    <col min="1031" max="1031" width="14.6640625" customWidth="1"/>
    <col min="1033" max="1033" width="15.5546875" customWidth="1"/>
    <col min="1283" max="1283" width="5.33203125" customWidth="1"/>
    <col min="1284" max="1284" width="10.44140625" customWidth="1"/>
    <col min="1285" max="1285" width="39.88671875" customWidth="1"/>
    <col min="1287" max="1287" width="14.6640625" customWidth="1"/>
    <col min="1289" max="1289" width="15.5546875" customWidth="1"/>
    <col min="1539" max="1539" width="5.33203125" customWidth="1"/>
    <col min="1540" max="1540" width="10.44140625" customWidth="1"/>
    <col min="1541" max="1541" width="39.88671875" customWidth="1"/>
    <col min="1543" max="1543" width="14.6640625" customWidth="1"/>
    <col min="1545" max="1545" width="15.5546875" customWidth="1"/>
    <col min="1795" max="1795" width="5.33203125" customWidth="1"/>
    <col min="1796" max="1796" width="10.44140625" customWidth="1"/>
    <col min="1797" max="1797" width="39.88671875" customWidth="1"/>
    <col min="1799" max="1799" width="14.6640625" customWidth="1"/>
    <col min="1801" max="1801" width="15.5546875" customWidth="1"/>
    <col min="2051" max="2051" width="5.33203125" customWidth="1"/>
    <col min="2052" max="2052" width="10.44140625" customWidth="1"/>
    <col min="2053" max="2053" width="39.88671875" customWidth="1"/>
    <col min="2055" max="2055" width="14.6640625" customWidth="1"/>
    <col min="2057" max="2057" width="15.5546875" customWidth="1"/>
    <col min="2307" max="2307" width="5.33203125" customWidth="1"/>
    <col min="2308" max="2308" width="10.44140625" customWidth="1"/>
    <col min="2309" max="2309" width="39.88671875" customWidth="1"/>
    <col min="2311" max="2311" width="14.6640625" customWidth="1"/>
    <col min="2313" max="2313" width="15.5546875" customWidth="1"/>
    <col min="2563" max="2563" width="5.33203125" customWidth="1"/>
    <col min="2564" max="2564" width="10.44140625" customWidth="1"/>
    <col min="2565" max="2565" width="39.88671875" customWidth="1"/>
    <col min="2567" max="2567" width="14.6640625" customWidth="1"/>
    <col min="2569" max="2569" width="15.5546875" customWidth="1"/>
    <col min="2819" max="2819" width="5.33203125" customWidth="1"/>
    <col min="2820" max="2820" width="10.44140625" customWidth="1"/>
    <col min="2821" max="2821" width="39.88671875" customWidth="1"/>
    <col min="2823" max="2823" width="14.6640625" customWidth="1"/>
    <col min="2825" max="2825" width="15.5546875" customWidth="1"/>
    <col min="3075" max="3075" width="5.33203125" customWidth="1"/>
    <col min="3076" max="3076" width="10.44140625" customWidth="1"/>
    <col min="3077" max="3077" width="39.88671875" customWidth="1"/>
    <col min="3079" max="3079" width="14.6640625" customWidth="1"/>
    <col min="3081" max="3081" width="15.5546875" customWidth="1"/>
    <col min="3331" max="3331" width="5.33203125" customWidth="1"/>
    <col min="3332" max="3332" width="10.44140625" customWidth="1"/>
    <col min="3333" max="3333" width="39.88671875" customWidth="1"/>
    <col min="3335" max="3335" width="14.6640625" customWidth="1"/>
    <col min="3337" max="3337" width="15.5546875" customWidth="1"/>
    <col min="3587" max="3587" width="5.33203125" customWidth="1"/>
    <col min="3588" max="3588" width="10.44140625" customWidth="1"/>
    <col min="3589" max="3589" width="39.88671875" customWidth="1"/>
    <col min="3591" max="3591" width="14.6640625" customWidth="1"/>
    <col min="3593" max="3593" width="15.5546875" customWidth="1"/>
    <col min="3843" max="3843" width="5.33203125" customWidth="1"/>
    <col min="3844" max="3844" width="10.44140625" customWidth="1"/>
    <col min="3845" max="3845" width="39.88671875" customWidth="1"/>
    <col min="3847" max="3847" width="14.6640625" customWidth="1"/>
    <col min="3849" max="3849" width="15.5546875" customWidth="1"/>
    <col min="4099" max="4099" width="5.33203125" customWidth="1"/>
    <col min="4100" max="4100" width="10.44140625" customWidth="1"/>
    <col min="4101" max="4101" width="39.88671875" customWidth="1"/>
    <col min="4103" max="4103" width="14.6640625" customWidth="1"/>
    <col min="4105" max="4105" width="15.5546875" customWidth="1"/>
    <col min="4355" max="4355" width="5.33203125" customWidth="1"/>
    <col min="4356" max="4356" width="10.44140625" customWidth="1"/>
    <col min="4357" max="4357" width="39.88671875" customWidth="1"/>
    <col min="4359" max="4359" width="14.6640625" customWidth="1"/>
    <col min="4361" max="4361" width="15.5546875" customWidth="1"/>
    <col min="4611" max="4611" width="5.33203125" customWidth="1"/>
    <col min="4612" max="4612" width="10.44140625" customWidth="1"/>
    <col min="4613" max="4613" width="39.88671875" customWidth="1"/>
    <col min="4615" max="4615" width="14.6640625" customWidth="1"/>
    <col min="4617" max="4617" width="15.5546875" customWidth="1"/>
    <col min="4867" max="4867" width="5.33203125" customWidth="1"/>
    <col min="4868" max="4868" width="10.44140625" customWidth="1"/>
    <col min="4869" max="4869" width="39.88671875" customWidth="1"/>
    <col min="4871" max="4871" width="14.6640625" customWidth="1"/>
    <col min="4873" max="4873" width="15.5546875" customWidth="1"/>
    <col min="5123" max="5123" width="5.33203125" customWidth="1"/>
    <col min="5124" max="5124" width="10.44140625" customWidth="1"/>
    <col min="5125" max="5125" width="39.88671875" customWidth="1"/>
    <col min="5127" max="5127" width="14.6640625" customWidth="1"/>
    <col min="5129" max="5129" width="15.5546875" customWidth="1"/>
    <col min="5379" max="5379" width="5.33203125" customWidth="1"/>
    <col min="5380" max="5380" width="10.44140625" customWidth="1"/>
    <col min="5381" max="5381" width="39.88671875" customWidth="1"/>
    <col min="5383" max="5383" width="14.6640625" customWidth="1"/>
    <col min="5385" max="5385" width="15.5546875" customWidth="1"/>
    <col min="5635" max="5635" width="5.33203125" customWidth="1"/>
    <col min="5636" max="5636" width="10.44140625" customWidth="1"/>
    <col min="5637" max="5637" width="39.88671875" customWidth="1"/>
    <col min="5639" max="5639" width="14.6640625" customWidth="1"/>
    <col min="5641" max="5641" width="15.5546875" customWidth="1"/>
    <col min="5891" max="5891" width="5.33203125" customWidth="1"/>
    <col min="5892" max="5892" width="10.44140625" customWidth="1"/>
    <col min="5893" max="5893" width="39.88671875" customWidth="1"/>
    <col min="5895" max="5895" width="14.6640625" customWidth="1"/>
    <col min="5897" max="5897" width="15.5546875" customWidth="1"/>
    <col min="6147" max="6147" width="5.33203125" customWidth="1"/>
    <col min="6148" max="6148" width="10.44140625" customWidth="1"/>
    <col min="6149" max="6149" width="39.88671875" customWidth="1"/>
    <col min="6151" max="6151" width="14.6640625" customWidth="1"/>
    <col min="6153" max="6153" width="15.5546875" customWidth="1"/>
    <col min="6403" max="6403" width="5.33203125" customWidth="1"/>
    <col min="6404" max="6404" width="10.44140625" customWidth="1"/>
    <col min="6405" max="6405" width="39.88671875" customWidth="1"/>
    <col min="6407" max="6407" width="14.6640625" customWidth="1"/>
    <col min="6409" max="6409" width="15.5546875" customWidth="1"/>
    <col min="6659" max="6659" width="5.33203125" customWidth="1"/>
    <col min="6660" max="6660" width="10.44140625" customWidth="1"/>
    <col min="6661" max="6661" width="39.88671875" customWidth="1"/>
    <col min="6663" max="6663" width="14.6640625" customWidth="1"/>
    <col min="6665" max="6665" width="15.5546875" customWidth="1"/>
    <col min="6915" max="6915" width="5.33203125" customWidth="1"/>
    <col min="6916" max="6916" width="10.44140625" customWidth="1"/>
    <col min="6917" max="6917" width="39.88671875" customWidth="1"/>
    <col min="6919" max="6919" width="14.6640625" customWidth="1"/>
    <col min="6921" max="6921" width="15.5546875" customWidth="1"/>
    <col min="7171" max="7171" width="5.33203125" customWidth="1"/>
    <col min="7172" max="7172" width="10.44140625" customWidth="1"/>
    <col min="7173" max="7173" width="39.88671875" customWidth="1"/>
    <col min="7175" max="7175" width="14.6640625" customWidth="1"/>
    <col min="7177" max="7177" width="15.5546875" customWidth="1"/>
    <col min="7427" max="7427" width="5.33203125" customWidth="1"/>
    <col min="7428" max="7428" width="10.44140625" customWidth="1"/>
    <col min="7429" max="7429" width="39.88671875" customWidth="1"/>
    <col min="7431" max="7431" width="14.6640625" customWidth="1"/>
    <col min="7433" max="7433" width="15.5546875" customWidth="1"/>
    <col min="7683" max="7683" width="5.33203125" customWidth="1"/>
    <col min="7684" max="7684" width="10.44140625" customWidth="1"/>
    <col min="7685" max="7685" width="39.88671875" customWidth="1"/>
    <col min="7687" max="7687" width="14.6640625" customWidth="1"/>
    <col min="7689" max="7689" width="15.5546875" customWidth="1"/>
    <col min="7939" max="7939" width="5.33203125" customWidth="1"/>
    <col min="7940" max="7940" width="10.44140625" customWidth="1"/>
    <col min="7941" max="7941" width="39.88671875" customWidth="1"/>
    <col min="7943" max="7943" width="14.6640625" customWidth="1"/>
    <col min="7945" max="7945" width="15.5546875" customWidth="1"/>
    <col min="8195" max="8195" width="5.33203125" customWidth="1"/>
    <col min="8196" max="8196" width="10.44140625" customWidth="1"/>
    <col min="8197" max="8197" width="39.88671875" customWidth="1"/>
    <col min="8199" max="8199" width="14.6640625" customWidth="1"/>
    <col min="8201" max="8201" width="15.5546875" customWidth="1"/>
    <col min="8451" max="8451" width="5.33203125" customWidth="1"/>
    <col min="8452" max="8452" width="10.44140625" customWidth="1"/>
    <col min="8453" max="8453" width="39.88671875" customWidth="1"/>
    <col min="8455" max="8455" width="14.6640625" customWidth="1"/>
    <col min="8457" max="8457" width="15.5546875" customWidth="1"/>
    <col min="8707" max="8707" width="5.33203125" customWidth="1"/>
    <col min="8708" max="8708" width="10.44140625" customWidth="1"/>
    <col min="8709" max="8709" width="39.88671875" customWidth="1"/>
    <col min="8711" max="8711" width="14.6640625" customWidth="1"/>
    <col min="8713" max="8713" width="15.5546875" customWidth="1"/>
    <col min="8963" max="8963" width="5.33203125" customWidth="1"/>
    <col min="8964" max="8964" width="10.44140625" customWidth="1"/>
    <col min="8965" max="8965" width="39.88671875" customWidth="1"/>
    <col min="8967" max="8967" width="14.6640625" customWidth="1"/>
    <col min="8969" max="8969" width="15.5546875" customWidth="1"/>
    <col min="9219" max="9219" width="5.33203125" customWidth="1"/>
    <col min="9220" max="9220" width="10.44140625" customWidth="1"/>
    <col min="9221" max="9221" width="39.88671875" customWidth="1"/>
    <col min="9223" max="9223" width="14.6640625" customWidth="1"/>
    <col min="9225" max="9225" width="15.5546875" customWidth="1"/>
    <col min="9475" max="9475" width="5.33203125" customWidth="1"/>
    <col min="9476" max="9476" width="10.44140625" customWidth="1"/>
    <col min="9477" max="9477" width="39.88671875" customWidth="1"/>
    <col min="9479" max="9479" width="14.6640625" customWidth="1"/>
    <col min="9481" max="9481" width="15.5546875" customWidth="1"/>
    <col min="9731" max="9731" width="5.33203125" customWidth="1"/>
    <col min="9732" max="9732" width="10.44140625" customWidth="1"/>
    <col min="9733" max="9733" width="39.88671875" customWidth="1"/>
    <col min="9735" max="9735" width="14.6640625" customWidth="1"/>
    <col min="9737" max="9737" width="15.5546875" customWidth="1"/>
    <col min="9987" max="9987" width="5.33203125" customWidth="1"/>
    <col min="9988" max="9988" width="10.44140625" customWidth="1"/>
    <col min="9989" max="9989" width="39.88671875" customWidth="1"/>
    <col min="9991" max="9991" width="14.6640625" customWidth="1"/>
    <col min="9993" max="9993" width="15.5546875" customWidth="1"/>
    <col min="10243" max="10243" width="5.33203125" customWidth="1"/>
    <col min="10244" max="10244" width="10.44140625" customWidth="1"/>
    <col min="10245" max="10245" width="39.88671875" customWidth="1"/>
    <col min="10247" max="10247" width="14.6640625" customWidth="1"/>
    <col min="10249" max="10249" width="15.5546875" customWidth="1"/>
    <col min="10499" max="10499" width="5.33203125" customWidth="1"/>
    <col min="10500" max="10500" width="10.44140625" customWidth="1"/>
    <col min="10501" max="10501" width="39.88671875" customWidth="1"/>
    <col min="10503" max="10503" width="14.6640625" customWidth="1"/>
    <col min="10505" max="10505" width="15.5546875" customWidth="1"/>
    <col min="10755" max="10755" width="5.33203125" customWidth="1"/>
    <col min="10756" max="10756" width="10.44140625" customWidth="1"/>
    <col min="10757" max="10757" width="39.88671875" customWidth="1"/>
    <col min="10759" max="10759" width="14.6640625" customWidth="1"/>
    <col min="10761" max="10761" width="15.5546875" customWidth="1"/>
    <col min="11011" max="11011" width="5.33203125" customWidth="1"/>
    <col min="11012" max="11012" width="10.44140625" customWidth="1"/>
    <col min="11013" max="11013" width="39.88671875" customWidth="1"/>
    <col min="11015" max="11015" width="14.6640625" customWidth="1"/>
    <col min="11017" max="11017" width="15.5546875" customWidth="1"/>
    <col min="11267" max="11267" width="5.33203125" customWidth="1"/>
    <col min="11268" max="11268" width="10.44140625" customWidth="1"/>
    <col min="11269" max="11269" width="39.88671875" customWidth="1"/>
    <col min="11271" max="11271" width="14.6640625" customWidth="1"/>
    <col min="11273" max="11273" width="15.5546875" customWidth="1"/>
    <col min="11523" max="11523" width="5.33203125" customWidth="1"/>
    <col min="11524" max="11524" width="10.44140625" customWidth="1"/>
    <col min="11525" max="11525" width="39.88671875" customWidth="1"/>
    <col min="11527" max="11527" width="14.6640625" customWidth="1"/>
    <col min="11529" max="11529" width="15.5546875" customWidth="1"/>
    <col min="11779" max="11779" width="5.33203125" customWidth="1"/>
    <col min="11780" max="11780" width="10.44140625" customWidth="1"/>
    <col min="11781" max="11781" width="39.88671875" customWidth="1"/>
    <col min="11783" max="11783" width="14.6640625" customWidth="1"/>
    <col min="11785" max="11785" width="15.5546875" customWidth="1"/>
    <col min="12035" max="12035" width="5.33203125" customWidth="1"/>
    <col min="12036" max="12036" width="10.44140625" customWidth="1"/>
    <col min="12037" max="12037" width="39.88671875" customWidth="1"/>
    <col min="12039" max="12039" width="14.6640625" customWidth="1"/>
    <col min="12041" max="12041" width="15.5546875" customWidth="1"/>
    <col min="12291" max="12291" width="5.33203125" customWidth="1"/>
    <col min="12292" max="12292" width="10.44140625" customWidth="1"/>
    <col min="12293" max="12293" width="39.88671875" customWidth="1"/>
    <col min="12295" max="12295" width="14.6640625" customWidth="1"/>
    <col min="12297" max="12297" width="15.5546875" customWidth="1"/>
    <col min="12547" max="12547" width="5.33203125" customWidth="1"/>
    <col min="12548" max="12548" width="10.44140625" customWidth="1"/>
    <col min="12549" max="12549" width="39.88671875" customWidth="1"/>
    <col min="12551" max="12551" width="14.6640625" customWidth="1"/>
    <col min="12553" max="12553" width="15.5546875" customWidth="1"/>
    <col min="12803" max="12803" width="5.33203125" customWidth="1"/>
    <col min="12804" max="12804" width="10.44140625" customWidth="1"/>
    <col min="12805" max="12805" width="39.88671875" customWidth="1"/>
    <col min="12807" max="12807" width="14.6640625" customWidth="1"/>
    <col min="12809" max="12809" width="15.5546875" customWidth="1"/>
    <col min="13059" max="13059" width="5.33203125" customWidth="1"/>
    <col min="13060" max="13060" width="10.44140625" customWidth="1"/>
    <col min="13061" max="13061" width="39.88671875" customWidth="1"/>
    <col min="13063" max="13063" width="14.6640625" customWidth="1"/>
    <col min="13065" max="13065" width="15.5546875" customWidth="1"/>
    <col min="13315" max="13315" width="5.33203125" customWidth="1"/>
    <col min="13316" max="13316" width="10.44140625" customWidth="1"/>
    <col min="13317" max="13317" width="39.88671875" customWidth="1"/>
    <col min="13319" max="13319" width="14.6640625" customWidth="1"/>
    <col min="13321" max="13321" width="15.5546875" customWidth="1"/>
    <col min="13571" max="13571" width="5.33203125" customWidth="1"/>
    <col min="13572" max="13572" width="10.44140625" customWidth="1"/>
    <col min="13573" max="13573" width="39.88671875" customWidth="1"/>
    <col min="13575" max="13575" width="14.6640625" customWidth="1"/>
    <col min="13577" max="13577" width="15.5546875" customWidth="1"/>
    <col min="13827" max="13827" width="5.33203125" customWidth="1"/>
    <col min="13828" max="13828" width="10.44140625" customWidth="1"/>
    <col min="13829" max="13829" width="39.88671875" customWidth="1"/>
    <col min="13831" max="13831" width="14.6640625" customWidth="1"/>
    <col min="13833" max="13833" width="15.5546875" customWidth="1"/>
    <col min="14083" max="14083" width="5.33203125" customWidth="1"/>
    <col min="14084" max="14084" width="10.44140625" customWidth="1"/>
    <col min="14085" max="14085" width="39.88671875" customWidth="1"/>
    <col min="14087" max="14087" width="14.6640625" customWidth="1"/>
    <col min="14089" max="14089" width="15.5546875" customWidth="1"/>
    <col min="14339" max="14339" width="5.33203125" customWidth="1"/>
    <col min="14340" max="14340" width="10.44140625" customWidth="1"/>
    <col min="14341" max="14341" width="39.88671875" customWidth="1"/>
    <col min="14343" max="14343" width="14.6640625" customWidth="1"/>
    <col min="14345" max="14345" width="15.5546875" customWidth="1"/>
    <col min="14595" max="14595" width="5.33203125" customWidth="1"/>
    <col min="14596" max="14596" width="10.44140625" customWidth="1"/>
    <col min="14597" max="14597" width="39.88671875" customWidth="1"/>
    <col min="14599" max="14599" width="14.6640625" customWidth="1"/>
    <col min="14601" max="14601" width="15.5546875" customWidth="1"/>
    <col min="14851" max="14851" width="5.33203125" customWidth="1"/>
    <col min="14852" max="14852" width="10.44140625" customWidth="1"/>
    <col min="14853" max="14853" width="39.88671875" customWidth="1"/>
    <col min="14855" max="14855" width="14.6640625" customWidth="1"/>
    <col min="14857" max="14857" width="15.5546875" customWidth="1"/>
    <col min="15107" max="15107" width="5.33203125" customWidth="1"/>
    <col min="15108" max="15108" width="10.44140625" customWidth="1"/>
    <col min="15109" max="15109" width="39.88671875" customWidth="1"/>
    <col min="15111" max="15111" width="14.6640625" customWidth="1"/>
    <col min="15113" max="15113" width="15.5546875" customWidth="1"/>
    <col min="15363" max="15363" width="5.33203125" customWidth="1"/>
    <col min="15364" max="15364" width="10.44140625" customWidth="1"/>
    <col min="15365" max="15365" width="39.88671875" customWidth="1"/>
    <col min="15367" max="15367" width="14.6640625" customWidth="1"/>
    <col min="15369" max="15369" width="15.5546875" customWidth="1"/>
    <col min="15619" max="15619" width="5.33203125" customWidth="1"/>
    <col min="15620" max="15620" width="10.44140625" customWidth="1"/>
    <col min="15621" max="15621" width="39.88671875" customWidth="1"/>
    <col min="15623" max="15623" width="14.6640625" customWidth="1"/>
    <col min="15625" max="15625" width="15.5546875" customWidth="1"/>
    <col min="15875" max="15875" width="5.33203125" customWidth="1"/>
    <col min="15876" max="15876" width="10.44140625" customWidth="1"/>
    <col min="15877" max="15877" width="39.88671875" customWidth="1"/>
    <col min="15879" max="15879" width="14.6640625" customWidth="1"/>
    <col min="15881" max="15881" width="15.5546875" customWidth="1"/>
    <col min="16131" max="16131" width="5.33203125" customWidth="1"/>
    <col min="16132" max="16132" width="10.44140625" customWidth="1"/>
    <col min="16133" max="16133" width="39.88671875" customWidth="1"/>
    <col min="16135" max="16135" width="14.6640625" customWidth="1"/>
    <col min="16137" max="16137" width="15.5546875" customWidth="1"/>
  </cols>
  <sheetData>
    <row r="2" spans="2:14" ht="20.399999999999999" x14ac:dyDescent="0.35">
      <c r="B2" s="131" t="s">
        <v>104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2:14" ht="39" customHeight="1" x14ac:dyDescent="0.3">
      <c r="B3" s="133" t="s">
        <v>96</v>
      </c>
      <c r="C3" s="133"/>
      <c r="D3" s="133"/>
      <c r="E3" s="133"/>
      <c r="F3" s="133"/>
      <c r="G3" s="133"/>
      <c r="H3" s="133"/>
      <c r="I3" s="134"/>
      <c r="J3" s="134"/>
      <c r="K3" s="134"/>
      <c r="L3" s="134"/>
      <c r="M3" s="134"/>
      <c r="N3" s="134"/>
    </row>
    <row r="4" spans="2:14" ht="17.399999999999999" x14ac:dyDescent="0.3">
      <c r="B4" s="1"/>
      <c r="C4" s="1"/>
      <c r="D4" s="1"/>
      <c r="E4" s="1"/>
      <c r="F4" s="21"/>
      <c r="G4" s="1"/>
      <c r="H4" s="1"/>
    </row>
    <row r="5" spans="2:14" ht="17.399999999999999" x14ac:dyDescent="0.3">
      <c r="B5" s="98"/>
      <c r="C5" s="98" t="s">
        <v>4</v>
      </c>
      <c r="D5" s="98"/>
      <c r="E5" s="98"/>
      <c r="F5" s="98"/>
      <c r="G5" s="98"/>
      <c r="H5" s="98"/>
      <c r="I5" s="99"/>
    </row>
    <row r="6" spans="2:14" ht="17.399999999999999" x14ac:dyDescent="0.3">
      <c r="B6" s="98" t="s">
        <v>0</v>
      </c>
      <c r="C6" s="100" t="s">
        <v>5</v>
      </c>
      <c r="D6" s="100"/>
      <c r="E6" s="100"/>
      <c r="F6" s="100"/>
      <c r="G6" s="100"/>
      <c r="H6" s="100"/>
      <c r="I6" s="26">
        <f>E22</f>
        <v>3567577</v>
      </c>
    </row>
    <row r="7" spans="2:14" ht="17.399999999999999" x14ac:dyDescent="0.3">
      <c r="B7" s="101" t="s">
        <v>1</v>
      </c>
      <c r="C7" s="102" t="s">
        <v>6</v>
      </c>
      <c r="D7" s="101"/>
      <c r="E7" s="103"/>
      <c r="F7" s="103"/>
      <c r="G7" s="103"/>
      <c r="H7" s="103"/>
      <c r="I7" s="26">
        <f>E23</f>
        <v>804867</v>
      </c>
    </row>
    <row r="8" spans="2:14" ht="15.6" x14ac:dyDescent="0.3">
      <c r="B8" s="2"/>
      <c r="C8" s="3"/>
      <c r="D8" s="2"/>
      <c r="E8" s="4"/>
      <c r="F8" s="4"/>
      <c r="G8" s="4"/>
      <c r="H8" s="4"/>
    </row>
    <row r="9" spans="2:14" ht="15.6" x14ac:dyDescent="0.3">
      <c r="B9" s="141" t="s">
        <v>61</v>
      </c>
      <c r="C9" s="142"/>
      <c r="D9" s="142"/>
      <c r="E9" s="142"/>
      <c r="F9" s="24"/>
      <c r="G9" s="13"/>
      <c r="H9" s="4"/>
    </row>
    <row r="10" spans="2:14" ht="75.75" customHeight="1" x14ac:dyDescent="0.3">
      <c r="B10" s="8"/>
      <c r="C10" s="48" t="s">
        <v>10</v>
      </c>
      <c r="D10" s="49" t="s">
        <v>62</v>
      </c>
      <c r="E10" s="50" t="s">
        <v>12</v>
      </c>
      <c r="F10" s="50" t="s">
        <v>63</v>
      </c>
      <c r="G10" s="50" t="s">
        <v>64</v>
      </c>
      <c r="H10" s="50" t="s">
        <v>65</v>
      </c>
      <c r="I10" s="50" t="s">
        <v>13</v>
      </c>
      <c r="J10" s="47" t="s">
        <v>97</v>
      </c>
      <c r="K10" s="104" t="s">
        <v>102</v>
      </c>
      <c r="L10" s="47" t="s">
        <v>14</v>
      </c>
    </row>
    <row r="11" spans="2:14" ht="33.75" customHeight="1" x14ac:dyDescent="0.3">
      <c r="B11" s="11" t="s">
        <v>17</v>
      </c>
      <c r="C11" s="22">
        <v>820710</v>
      </c>
      <c r="D11" s="23">
        <v>3789</v>
      </c>
      <c r="E11" s="22">
        <v>26817</v>
      </c>
      <c r="F11" s="22">
        <v>822694</v>
      </c>
      <c r="G11" s="22">
        <v>0</v>
      </c>
      <c r="H11" s="22">
        <v>45258</v>
      </c>
      <c r="I11" s="51">
        <v>31769</v>
      </c>
      <c r="J11" s="51">
        <v>175656</v>
      </c>
      <c r="K11" s="51">
        <v>4914</v>
      </c>
      <c r="L11" s="51">
        <f>C11+D11+E11+G11+H11+I11+J11+F11+K11</f>
        <v>1931607</v>
      </c>
    </row>
    <row r="12" spans="2:14" ht="33.75" customHeight="1" x14ac:dyDescent="0.3">
      <c r="B12" s="11" t="s">
        <v>8</v>
      </c>
      <c r="C12" s="22">
        <v>714756</v>
      </c>
      <c r="D12" s="23">
        <v>3602</v>
      </c>
      <c r="E12" s="22">
        <v>12077</v>
      </c>
      <c r="F12" s="22">
        <v>647814</v>
      </c>
      <c r="G12" s="22">
        <v>74448</v>
      </c>
      <c r="H12" s="22">
        <v>44532</v>
      </c>
      <c r="I12" s="51">
        <v>41026</v>
      </c>
      <c r="J12" s="51">
        <v>0</v>
      </c>
      <c r="K12" s="51">
        <v>0</v>
      </c>
      <c r="L12" s="51">
        <f>C12+D12+E12+G12+H12+I12+J12+F12+K12</f>
        <v>1538255</v>
      </c>
    </row>
    <row r="13" spans="2:14" ht="30.6" x14ac:dyDescent="0.3">
      <c r="B13" s="11" t="s">
        <v>9</v>
      </c>
      <c r="C13" s="22">
        <f t="shared" ref="C13:J13" si="0">C11+C12</f>
        <v>1535466</v>
      </c>
      <c r="D13" s="22">
        <f t="shared" si="0"/>
        <v>7391</v>
      </c>
      <c r="E13" s="22">
        <f t="shared" si="0"/>
        <v>38894</v>
      </c>
      <c r="F13" s="22">
        <f t="shared" si="0"/>
        <v>1470508</v>
      </c>
      <c r="G13" s="22">
        <f t="shared" si="0"/>
        <v>74448</v>
      </c>
      <c r="H13" s="22">
        <f t="shared" si="0"/>
        <v>89790</v>
      </c>
      <c r="I13" s="22">
        <f t="shared" si="0"/>
        <v>72795</v>
      </c>
      <c r="J13" s="22">
        <f t="shared" si="0"/>
        <v>175656</v>
      </c>
      <c r="K13" s="22">
        <f>K11+K12</f>
        <v>4914</v>
      </c>
      <c r="L13" s="51">
        <f>C13+D13+E13+G13+H13+I13+J13+F13+K13</f>
        <v>3469862</v>
      </c>
    </row>
    <row r="14" spans="2:14" ht="15.6" x14ac:dyDescent="0.3">
      <c r="B14" s="5"/>
      <c r="C14" s="9"/>
      <c r="D14" s="5"/>
      <c r="E14" s="6"/>
      <c r="F14" s="6"/>
      <c r="G14" s="6"/>
      <c r="H14" s="6"/>
      <c r="I14" s="10"/>
      <c r="J14" s="10"/>
      <c r="K14" s="10"/>
      <c r="L14" s="10"/>
      <c r="M14" s="10"/>
      <c r="N14" s="10"/>
    </row>
    <row r="15" spans="2:14" ht="32.25" customHeight="1" x14ac:dyDescent="0.3">
      <c r="B15" s="137" t="s">
        <v>15</v>
      </c>
      <c r="C15" s="138"/>
      <c r="D15" s="138"/>
      <c r="E15" s="12">
        <f>E16+E17</f>
        <v>97715</v>
      </c>
      <c r="F15" s="54"/>
      <c r="G15" s="13"/>
      <c r="H15" s="4"/>
    </row>
    <row r="16" spans="2:14" ht="15.6" x14ac:dyDescent="0.3">
      <c r="B16" s="18"/>
      <c r="C16" s="19"/>
      <c r="D16" s="20" t="s">
        <v>7</v>
      </c>
      <c r="E16" s="14">
        <v>52015</v>
      </c>
      <c r="F16" s="55"/>
      <c r="G16" s="13"/>
      <c r="H16" s="4"/>
    </row>
    <row r="17" spans="2:9" ht="15.6" x14ac:dyDescent="0.3">
      <c r="B17" s="15"/>
      <c r="C17" s="16"/>
      <c r="D17" s="17" t="s">
        <v>8</v>
      </c>
      <c r="E17" s="14">
        <v>45700</v>
      </c>
      <c r="F17" s="55"/>
      <c r="G17" s="13"/>
      <c r="H17" s="4"/>
    </row>
    <row r="18" spans="2:9" ht="15.6" x14ac:dyDescent="0.3">
      <c r="B18" s="139" t="s">
        <v>83</v>
      </c>
      <c r="C18" s="140"/>
      <c r="D18" s="140"/>
      <c r="E18" s="12">
        <f>E19+E20</f>
        <v>0</v>
      </c>
      <c r="F18" s="54"/>
      <c r="G18" s="13"/>
      <c r="H18" s="4"/>
    </row>
    <row r="19" spans="2:9" ht="15.6" x14ac:dyDescent="0.3">
      <c r="B19" s="18"/>
      <c r="C19" s="19"/>
      <c r="D19" s="20" t="s">
        <v>7</v>
      </c>
      <c r="E19" s="14"/>
      <c r="F19" s="55"/>
      <c r="G19" s="13"/>
      <c r="H19" s="4"/>
    </row>
    <row r="20" spans="2:9" ht="15.6" x14ac:dyDescent="0.3">
      <c r="B20" s="15"/>
      <c r="C20" s="16"/>
      <c r="D20" s="17" t="s">
        <v>8</v>
      </c>
      <c r="E20" s="14"/>
      <c r="F20" s="55"/>
      <c r="G20" s="13"/>
      <c r="H20" s="4"/>
    </row>
    <row r="21" spans="2:9" ht="15.6" x14ac:dyDescent="0.3">
      <c r="B21" s="2"/>
      <c r="C21" s="143" t="s">
        <v>18</v>
      </c>
      <c r="D21" s="144"/>
      <c r="E21" s="25">
        <v>10908</v>
      </c>
      <c r="F21" s="10" t="s">
        <v>116</v>
      </c>
      <c r="G21" s="13"/>
      <c r="H21" s="4">
        <v>20000</v>
      </c>
    </row>
    <row r="22" spans="2:9" ht="15.6" x14ac:dyDescent="0.3">
      <c r="B22" s="2"/>
      <c r="C22" s="3" t="s">
        <v>0</v>
      </c>
      <c r="D22" s="2"/>
      <c r="E22" s="24">
        <f>L13+E15+E18</f>
        <v>3567577</v>
      </c>
      <c r="F22" s="24"/>
      <c r="G22" s="13"/>
      <c r="H22" s="4"/>
    </row>
    <row r="23" spans="2:9" ht="15.6" x14ac:dyDescent="0.3">
      <c r="B23" s="2"/>
      <c r="C23" s="3" t="s">
        <v>1</v>
      </c>
      <c r="D23" s="2"/>
      <c r="E23" s="24">
        <v>804867</v>
      </c>
      <c r="F23" s="24"/>
      <c r="G23" s="13"/>
      <c r="H23" s="4"/>
    </row>
    <row r="24" spans="2:9" ht="15.6" x14ac:dyDescent="0.3">
      <c r="B24" s="2"/>
      <c r="C24" s="3"/>
      <c r="D24" s="2"/>
      <c r="E24" s="24"/>
      <c r="F24" s="24"/>
      <c r="G24" s="13"/>
      <c r="H24" s="4"/>
    </row>
    <row r="25" spans="2:9" ht="15.6" x14ac:dyDescent="0.3">
      <c r="B25" s="2"/>
      <c r="C25" s="3"/>
      <c r="D25" s="2"/>
      <c r="E25" s="24"/>
      <c r="F25" s="24"/>
      <c r="G25" s="13"/>
      <c r="H25" s="4"/>
    </row>
    <row r="26" spans="2:9" ht="17.399999999999999" x14ac:dyDescent="0.3">
      <c r="B26" s="145" t="s">
        <v>66</v>
      </c>
      <c r="C26" s="146"/>
      <c r="D26" s="146"/>
      <c r="E26" s="146"/>
      <c r="F26" s="146"/>
      <c r="G26" s="13"/>
      <c r="H26" s="4"/>
      <c r="I26" s="57">
        <f>H43</f>
        <v>114291</v>
      </c>
    </row>
    <row r="27" spans="2:9" ht="18" x14ac:dyDescent="0.35">
      <c r="B27" s="58"/>
      <c r="C27" s="59"/>
      <c r="D27" s="59"/>
      <c r="E27" s="59"/>
      <c r="F27" s="59"/>
      <c r="G27" s="13"/>
      <c r="H27" s="4"/>
      <c r="I27" s="57"/>
    </row>
    <row r="28" spans="2:9" ht="18" x14ac:dyDescent="0.35">
      <c r="B28" s="119" t="s">
        <v>19</v>
      </c>
      <c r="C28" s="120"/>
      <c r="D28" s="120"/>
      <c r="E28" s="120"/>
      <c r="F28" s="121" t="s">
        <v>26</v>
      </c>
      <c r="G28" s="120"/>
      <c r="H28" s="135" t="s">
        <v>20</v>
      </c>
      <c r="I28" s="57"/>
    </row>
    <row r="29" spans="2:9" ht="120" x14ac:dyDescent="0.3">
      <c r="B29" s="120"/>
      <c r="C29" s="120"/>
      <c r="D29" s="120"/>
      <c r="E29" s="120"/>
      <c r="F29" s="93" t="s">
        <v>98</v>
      </c>
      <c r="G29" s="92" t="s">
        <v>99</v>
      </c>
      <c r="H29" s="136"/>
      <c r="I29" s="57"/>
    </row>
    <row r="30" spans="2:9" ht="15.6" x14ac:dyDescent="0.3">
      <c r="B30" s="112" t="s">
        <v>21</v>
      </c>
      <c r="C30" s="128"/>
      <c r="D30" s="128"/>
      <c r="E30" s="128"/>
      <c r="F30" s="91">
        <f>F31+F32+F33+F34</f>
        <v>15177</v>
      </c>
      <c r="G30" s="91">
        <f>G31+G32+G33+G34</f>
        <v>11854</v>
      </c>
      <c r="H30" s="35">
        <f>H31+H32+H33+H34</f>
        <v>27031</v>
      </c>
      <c r="I30" s="57"/>
    </row>
    <row r="31" spans="2:9" ht="15.6" x14ac:dyDescent="0.3">
      <c r="B31" s="129" t="s">
        <v>27</v>
      </c>
      <c r="C31" s="130"/>
      <c r="D31" s="130"/>
      <c r="E31" s="130"/>
      <c r="F31" s="23">
        <v>442</v>
      </c>
      <c r="G31" s="23">
        <v>332</v>
      </c>
      <c r="H31" s="36">
        <f>F31+G31</f>
        <v>774</v>
      </c>
      <c r="I31" s="57"/>
    </row>
    <row r="32" spans="2:9" ht="15.6" x14ac:dyDescent="0.3">
      <c r="B32" s="129" t="s">
        <v>22</v>
      </c>
      <c r="C32" s="130"/>
      <c r="D32" s="130"/>
      <c r="E32" s="130"/>
      <c r="F32" s="23">
        <v>5982</v>
      </c>
      <c r="G32" s="23">
        <v>4542</v>
      </c>
      <c r="H32" s="36">
        <f>F32+G32</f>
        <v>10524</v>
      </c>
      <c r="I32" s="57"/>
    </row>
    <row r="33" spans="2:12" ht="15.6" x14ac:dyDescent="0.3">
      <c r="B33" s="129" t="s">
        <v>23</v>
      </c>
      <c r="C33" s="130"/>
      <c r="D33" s="130"/>
      <c r="E33" s="130"/>
      <c r="F33" s="23">
        <v>6205</v>
      </c>
      <c r="G33" s="23">
        <v>4986</v>
      </c>
      <c r="H33" s="36">
        <f>F33+G33</f>
        <v>11191</v>
      </c>
      <c r="I33" s="57"/>
    </row>
    <row r="34" spans="2:12" ht="15.6" x14ac:dyDescent="0.3">
      <c r="B34" s="129" t="s">
        <v>28</v>
      </c>
      <c r="C34" s="130"/>
      <c r="D34" s="130"/>
      <c r="E34" s="130"/>
      <c r="F34" s="38">
        <v>2548</v>
      </c>
      <c r="G34" s="37">
        <v>1994</v>
      </c>
      <c r="H34" s="36">
        <f>F34+G34</f>
        <v>4542</v>
      </c>
      <c r="I34" s="57"/>
    </row>
    <row r="35" spans="2:12" ht="15" customHeight="1" x14ac:dyDescent="0.3">
      <c r="B35" s="125" t="s">
        <v>29</v>
      </c>
      <c r="C35" s="126"/>
      <c r="D35" s="126"/>
      <c r="E35" s="127"/>
      <c r="F35" s="35">
        <f>F36+F37+F38</f>
        <v>14850</v>
      </c>
      <c r="G35" s="35">
        <f>G36+G37+G38</f>
        <v>8330</v>
      </c>
      <c r="H35" s="35">
        <f>H36+H37+H38</f>
        <v>23180</v>
      </c>
    </row>
    <row r="36" spans="2:12" ht="15" customHeight="1" x14ac:dyDescent="0.3">
      <c r="B36" s="122" t="s">
        <v>67</v>
      </c>
      <c r="C36" s="123"/>
      <c r="D36" s="123"/>
      <c r="E36" s="124"/>
      <c r="F36" s="23">
        <v>1410</v>
      </c>
      <c r="G36" s="23">
        <v>790</v>
      </c>
      <c r="H36" s="36">
        <f t="shared" ref="H36:H42" si="1">F36+G36</f>
        <v>2200</v>
      </c>
    </row>
    <row r="37" spans="2:12" ht="15" customHeight="1" x14ac:dyDescent="0.3">
      <c r="B37" s="122" t="s">
        <v>30</v>
      </c>
      <c r="C37" s="123"/>
      <c r="D37" s="123"/>
      <c r="E37" s="124"/>
      <c r="F37" s="23">
        <v>8500</v>
      </c>
      <c r="G37" s="23">
        <v>4760</v>
      </c>
      <c r="H37" s="36">
        <f t="shared" si="1"/>
        <v>13260</v>
      </c>
    </row>
    <row r="38" spans="2:12" ht="15.6" x14ac:dyDescent="0.3">
      <c r="B38" s="122" t="s">
        <v>31</v>
      </c>
      <c r="C38" s="123"/>
      <c r="D38" s="123"/>
      <c r="E38" s="124"/>
      <c r="F38" s="38">
        <v>4940</v>
      </c>
      <c r="G38" s="37">
        <v>2780</v>
      </c>
      <c r="H38" s="36">
        <f t="shared" si="1"/>
        <v>7720</v>
      </c>
    </row>
    <row r="39" spans="2:12" ht="15.6" x14ac:dyDescent="0.3">
      <c r="B39" s="125" t="s">
        <v>24</v>
      </c>
      <c r="C39" s="126"/>
      <c r="D39" s="126"/>
      <c r="E39" s="127"/>
      <c r="F39" s="35">
        <v>2836</v>
      </c>
      <c r="G39" s="35">
        <v>1596</v>
      </c>
      <c r="H39" s="35">
        <f t="shared" si="1"/>
        <v>4432</v>
      </c>
    </row>
    <row r="40" spans="2:12" ht="15.6" x14ac:dyDescent="0.3">
      <c r="B40" s="112" t="s">
        <v>68</v>
      </c>
      <c r="C40" s="128"/>
      <c r="D40" s="128"/>
      <c r="E40" s="128"/>
      <c r="F40" s="40">
        <v>3656</v>
      </c>
      <c r="G40" s="41">
        <v>2992</v>
      </c>
      <c r="H40" s="35">
        <f t="shared" si="1"/>
        <v>6648</v>
      </c>
    </row>
    <row r="41" spans="2:12" ht="27.75" customHeight="1" x14ac:dyDescent="0.3">
      <c r="B41" s="117" t="s">
        <v>70</v>
      </c>
      <c r="C41" s="118"/>
      <c r="D41" s="118"/>
      <c r="E41" s="118"/>
      <c r="F41" s="39">
        <v>6000</v>
      </c>
      <c r="G41" s="39">
        <v>13000</v>
      </c>
      <c r="H41" s="35">
        <f t="shared" si="1"/>
        <v>19000</v>
      </c>
    </row>
    <row r="42" spans="2:12" ht="27.75" customHeight="1" x14ac:dyDescent="0.3">
      <c r="B42" s="114" t="s">
        <v>77</v>
      </c>
      <c r="C42" s="115"/>
      <c r="D42" s="115"/>
      <c r="E42" s="116"/>
      <c r="F42" s="39">
        <v>18000</v>
      </c>
      <c r="G42" s="39">
        <v>16000</v>
      </c>
      <c r="H42" s="35">
        <f t="shared" si="1"/>
        <v>34000</v>
      </c>
    </row>
    <row r="43" spans="2:12" ht="17.399999999999999" x14ac:dyDescent="0.3">
      <c r="B43" s="111" t="s">
        <v>32</v>
      </c>
      <c r="C43" s="111"/>
      <c r="D43" s="111"/>
      <c r="E43" s="111"/>
      <c r="F43" s="52">
        <f>F40+F39+F35+F30+F41+F42</f>
        <v>60519</v>
      </c>
      <c r="G43" s="52">
        <f>G40+G39+G35+G30+G41+G42</f>
        <v>53772</v>
      </c>
      <c r="H43" s="52">
        <f>H40+H39+H35+H30+H41+H42</f>
        <v>114291</v>
      </c>
    </row>
    <row r="44" spans="2:12" x14ac:dyDescent="0.3">
      <c r="B44" s="42"/>
      <c r="C44" s="42"/>
      <c r="D44" s="42"/>
      <c r="E44" s="42"/>
      <c r="F44" s="42"/>
      <c r="G44" s="42"/>
      <c r="H44" s="42"/>
      <c r="I44" s="42"/>
    </row>
    <row r="45" spans="2:12" x14ac:dyDescent="0.3">
      <c r="B45" s="42"/>
      <c r="C45" s="42"/>
      <c r="D45" s="42"/>
      <c r="E45" s="42"/>
      <c r="F45" s="42"/>
      <c r="G45" s="42"/>
      <c r="H45" s="42"/>
      <c r="I45" s="42"/>
    </row>
    <row r="46" spans="2:12" ht="17.399999999999999" x14ac:dyDescent="0.3">
      <c r="B46" s="29" t="s">
        <v>71</v>
      </c>
      <c r="C46" s="42"/>
      <c r="D46" s="42"/>
      <c r="E46" s="42"/>
      <c r="F46" s="42"/>
      <c r="G46" s="42"/>
      <c r="H46" s="42"/>
      <c r="I46" s="42">
        <v>502250</v>
      </c>
      <c r="L46" s="57"/>
    </row>
    <row r="47" spans="2:12" ht="18" x14ac:dyDescent="0.3">
      <c r="B47" s="30"/>
      <c r="C47" s="42"/>
      <c r="D47" s="42"/>
      <c r="E47" s="42"/>
      <c r="F47" s="42"/>
      <c r="G47" s="42"/>
      <c r="H47" s="42"/>
      <c r="I47" s="42"/>
    </row>
    <row r="48" spans="2:12" ht="15.6" x14ac:dyDescent="0.3">
      <c r="B48" s="28" t="s">
        <v>111</v>
      </c>
      <c r="C48" s="42"/>
      <c r="D48" s="42"/>
      <c r="E48" s="42"/>
      <c r="F48" s="42"/>
      <c r="G48" s="42"/>
      <c r="H48" s="42"/>
      <c r="I48" s="42"/>
    </row>
    <row r="49" spans="2:9" ht="15.6" x14ac:dyDescent="0.3">
      <c r="B49" s="28" t="s">
        <v>112</v>
      </c>
      <c r="C49" s="42"/>
      <c r="D49" s="42"/>
      <c r="E49" s="42"/>
      <c r="F49" s="42"/>
      <c r="G49" s="42"/>
      <c r="H49" s="42"/>
      <c r="I49" s="42"/>
    </row>
    <row r="50" spans="2:9" ht="18" x14ac:dyDescent="0.3">
      <c r="B50" s="30"/>
      <c r="C50" s="42"/>
      <c r="D50" s="42"/>
      <c r="E50" s="42"/>
      <c r="F50" s="42"/>
      <c r="G50" s="42"/>
      <c r="H50" s="42"/>
      <c r="I50" s="42"/>
    </row>
    <row r="51" spans="2:9" x14ac:dyDescent="0.3">
      <c r="B51" s="42"/>
      <c r="C51" s="42"/>
      <c r="D51" s="42"/>
      <c r="E51" s="42"/>
      <c r="F51" s="42"/>
      <c r="G51" s="42"/>
      <c r="H51" s="42"/>
      <c r="I51" s="42"/>
    </row>
    <row r="52" spans="2:9" ht="17.399999999999999" x14ac:dyDescent="0.3">
      <c r="B52" s="105" t="s">
        <v>72</v>
      </c>
      <c r="C52" s="42"/>
      <c r="D52" s="42"/>
      <c r="E52" s="42"/>
      <c r="F52" s="42"/>
      <c r="G52" s="42"/>
      <c r="H52" s="42"/>
      <c r="I52" s="45">
        <f>H71</f>
        <v>214038</v>
      </c>
    </row>
    <row r="53" spans="2:9" x14ac:dyDescent="0.3">
      <c r="B53" s="42"/>
      <c r="C53" s="42"/>
      <c r="D53" s="42"/>
      <c r="E53" s="42"/>
      <c r="F53" s="42"/>
      <c r="G53" s="42"/>
      <c r="H53" s="42"/>
      <c r="I53" s="42"/>
    </row>
    <row r="54" spans="2:9" ht="15.6" x14ac:dyDescent="0.3">
      <c r="B54" s="112" t="s">
        <v>19</v>
      </c>
      <c r="C54" s="113"/>
      <c r="D54" s="113"/>
      <c r="E54" s="113"/>
      <c r="F54" s="160" t="s">
        <v>26</v>
      </c>
      <c r="G54" s="161"/>
      <c r="H54" s="162" t="s">
        <v>20</v>
      </c>
    </row>
    <row r="55" spans="2:9" ht="15.6" x14ac:dyDescent="0.3">
      <c r="B55" s="113"/>
      <c r="C55" s="113"/>
      <c r="D55" s="113"/>
      <c r="E55" s="113"/>
      <c r="F55" s="33" t="s">
        <v>7</v>
      </c>
      <c r="G55" s="34" t="s">
        <v>8</v>
      </c>
      <c r="H55" s="162"/>
    </row>
    <row r="56" spans="2:9" s="75" customFormat="1" ht="15.6" x14ac:dyDescent="0.3">
      <c r="B56" s="156" t="s">
        <v>34</v>
      </c>
      <c r="C56" s="157"/>
      <c r="D56" s="157"/>
      <c r="E56" s="157"/>
      <c r="F56" s="89">
        <v>1500</v>
      </c>
      <c r="G56" s="89">
        <v>1500</v>
      </c>
      <c r="H56" s="90">
        <f t="shared" ref="H56:H70" si="2">F56+G56</f>
        <v>3000</v>
      </c>
    </row>
    <row r="57" spans="2:9" s="75" customFormat="1" ht="15.6" x14ac:dyDescent="0.3">
      <c r="B57" s="156" t="s">
        <v>35</v>
      </c>
      <c r="C57" s="157"/>
      <c r="D57" s="157"/>
      <c r="E57" s="157"/>
      <c r="F57" s="89">
        <v>4000</v>
      </c>
      <c r="G57" s="89">
        <v>4000</v>
      </c>
      <c r="H57" s="90">
        <f t="shared" si="2"/>
        <v>8000</v>
      </c>
    </row>
    <row r="58" spans="2:9" s="75" customFormat="1" ht="18" customHeight="1" x14ac:dyDescent="0.3">
      <c r="B58" s="156" t="s">
        <v>36</v>
      </c>
      <c r="C58" s="157"/>
      <c r="D58" s="157"/>
      <c r="E58" s="157"/>
      <c r="F58" s="89">
        <v>1700</v>
      </c>
      <c r="G58" s="89">
        <v>1700</v>
      </c>
      <c r="H58" s="90">
        <f t="shared" si="2"/>
        <v>3400</v>
      </c>
    </row>
    <row r="59" spans="2:9" s="75" customFormat="1" ht="15.6" x14ac:dyDescent="0.3">
      <c r="B59" s="156" t="s">
        <v>37</v>
      </c>
      <c r="C59" s="157"/>
      <c r="D59" s="157"/>
      <c r="E59" s="157"/>
      <c r="F59" s="89">
        <v>18000</v>
      </c>
      <c r="G59" s="89"/>
      <c r="H59" s="90">
        <f t="shared" si="2"/>
        <v>18000</v>
      </c>
    </row>
    <row r="60" spans="2:9" s="75" customFormat="1" ht="15.6" x14ac:dyDescent="0.3">
      <c r="B60" s="163" t="s">
        <v>95</v>
      </c>
      <c r="C60" s="164"/>
      <c r="D60" s="164"/>
      <c r="E60" s="165"/>
      <c r="F60" s="89">
        <v>2500</v>
      </c>
      <c r="G60" s="89">
        <v>2500</v>
      </c>
      <c r="H60" s="90">
        <f t="shared" si="2"/>
        <v>5000</v>
      </c>
    </row>
    <row r="61" spans="2:9" s="75" customFormat="1" ht="15.6" x14ac:dyDescent="0.3">
      <c r="B61" s="156" t="s">
        <v>38</v>
      </c>
      <c r="C61" s="157"/>
      <c r="D61" s="157"/>
      <c r="E61" s="157"/>
      <c r="F61" s="89">
        <v>4000</v>
      </c>
      <c r="G61" s="89">
        <v>4000</v>
      </c>
      <c r="H61" s="90">
        <f t="shared" si="2"/>
        <v>8000</v>
      </c>
    </row>
    <row r="62" spans="2:9" s="75" customFormat="1" ht="15.6" x14ac:dyDescent="0.3">
      <c r="B62" s="158" t="s">
        <v>84</v>
      </c>
      <c r="C62" s="159"/>
      <c r="D62" s="159"/>
      <c r="E62" s="159"/>
      <c r="F62" s="89">
        <v>8000</v>
      </c>
      <c r="G62" s="89">
        <v>8000</v>
      </c>
      <c r="H62" s="90">
        <f t="shared" si="2"/>
        <v>16000</v>
      </c>
    </row>
    <row r="63" spans="2:9" s="75" customFormat="1" ht="15.6" x14ac:dyDescent="0.3">
      <c r="B63" s="156" t="s">
        <v>39</v>
      </c>
      <c r="C63" s="157"/>
      <c r="D63" s="157"/>
      <c r="E63" s="157"/>
      <c r="F63" s="89">
        <v>5000</v>
      </c>
      <c r="G63" s="89">
        <v>5000</v>
      </c>
      <c r="H63" s="90">
        <f t="shared" si="2"/>
        <v>10000</v>
      </c>
    </row>
    <row r="64" spans="2:9" s="75" customFormat="1" ht="30.75" customHeight="1" x14ac:dyDescent="0.3">
      <c r="B64" s="158" t="s">
        <v>40</v>
      </c>
      <c r="C64" s="159"/>
      <c r="D64" s="159"/>
      <c r="E64" s="159"/>
      <c r="F64" s="89">
        <v>4000</v>
      </c>
      <c r="G64" s="89">
        <v>4000</v>
      </c>
      <c r="H64" s="90">
        <f t="shared" si="2"/>
        <v>8000</v>
      </c>
    </row>
    <row r="65" spans="2:9" s="75" customFormat="1" ht="15.6" x14ac:dyDescent="0.3">
      <c r="B65" s="156" t="s">
        <v>87</v>
      </c>
      <c r="C65" s="157"/>
      <c r="D65" s="157"/>
      <c r="E65" s="157"/>
      <c r="F65" s="89">
        <v>23000</v>
      </c>
      <c r="G65" s="89">
        <v>20000</v>
      </c>
      <c r="H65" s="90">
        <f t="shared" si="2"/>
        <v>43000</v>
      </c>
    </row>
    <row r="66" spans="2:9" s="75" customFormat="1" ht="15.6" x14ac:dyDescent="0.3">
      <c r="B66" s="156" t="s">
        <v>41</v>
      </c>
      <c r="C66" s="157"/>
      <c r="D66" s="157"/>
      <c r="E66" s="157"/>
      <c r="F66" s="89">
        <v>4000</v>
      </c>
      <c r="G66" s="89">
        <v>4000</v>
      </c>
      <c r="H66" s="90">
        <f t="shared" si="2"/>
        <v>8000</v>
      </c>
    </row>
    <row r="67" spans="2:9" s="75" customFormat="1" ht="15.6" x14ac:dyDescent="0.3">
      <c r="B67" s="156" t="s">
        <v>42</v>
      </c>
      <c r="C67" s="157"/>
      <c r="D67" s="157"/>
      <c r="E67" s="157"/>
      <c r="F67" s="89">
        <v>14400</v>
      </c>
      <c r="G67" s="89">
        <v>8800</v>
      </c>
      <c r="H67" s="90">
        <f t="shared" si="2"/>
        <v>23200</v>
      </c>
    </row>
    <row r="68" spans="2:9" s="75" customFormat="1" ht="32.25" customHeight="1" x14ac:dyDescent="0.3">
      <c r="B68" s="158" t="s">
        <v>85</v>
      </c>
      <c r="C68" s="159"/>
      <c r="D68" s="159"/>
      <c r="E68" s="159"/>
      <c r="F68" s="89">
        <v>15000</v>
      </c>
      <c r="G68" s="89">
        <v>9000</v>
      </c>
      <c r="H68" s="90">
        <f t="shared" si="2"/>
        <v>24000</v>
      </c>
    </row>
    <row r="69" spans="2:9" s="75" customFormat="1" ht="20.25" customHeight="1" x14ac:dyDescent="0.3">
      <c r="B69" s="147" t="s">
        <v>103</v>
      </c>
      <c r="C69" s="148"/>
      <c r="D69" s="148"/>
      <c r="E69" s="149"/>
      <c r="F69" s="89">
        <v>3000</v>
      </c>
      <c r="G69" s="89">
        <v>3000</v>
      </c>
      <c r="H69" s="90">
        <f t="shared" si="2"/>
        <v>6000</v>
      </c>
    </row>
    <row r="70" spans="2:9" s="75" customFormat="1" ht="18.75" customHeight="1" x14ac:dyDescent="0.3">
      <c r="B70" s="147" t="s">
        <v>86</v>
      </c>
      <c r="C70" s="150"/>
      <c r="D70" s="150"/>
      <c r="E70" s="151"/>
      <c r="F70" s="89">
        <v>16344</v>
      </c>
      <c r="G70" s="89">
        <v>14094</v>
      </c>
      <c r="H70" s="90">
        <f t="shared" si="2"/>
        <v>30438</v>
      </c>
    </row>
    <row r="71" spans="2:9" ht="17.399999999999999" x14ac:dyDescent="0.3">
      <c r="B71" s="111" t="s">
        <v>32</v>
      </c>
      <c r="C71" s="111"/>
      <c r="D71" s="111"/>
      <c r="E71" s="111"/>
      <c r="F71" s="52">
        <f>SUM(F56:F70)</f>
        <v>124444</v>
      </c>
      <c r="G71" s="52">
        <f>SUM(G56:G70)</f>
        <v>89594</v>
      </c>
      <c r="H71" s="52">
        <f>SUM(H56:H70)</f>
        <v>214038</v>
      </c>
    </row>
    <row r="72" spans="2:9" x14ac:dyDescent="0.3">
      <c r="B72" s="42"/>
      <c r="C72" s="42"/>
      <c r="D72" s="42"/>
      <c r="E72" s="42"/>
      <c r="F72" s="42"/>
      <c r="G72" s="42"/>
      <c r="H72" s="42"/>
      <c r="I72" s="42"/>
    </row>
    <row r="73" spans="2:9" x14ac:dyDescent="0.3">
      <c r="B73" s="42"/>
      <c r="C73" s="42"/>
      <c r="D73" s="42"/>
      <c r="E73" s="42"/>
      <c r="F73" s="42"/>
      <c r="G73" s="42"/>
      <c r="H73" s="42"/>
      <c r="I73" s="45"/>
    </row>
    <row r="74" spans="2:9" x14ac:dyDescent="0.3">
      <c r="B74" s="42"/>
      <c r="C74" s="42"/>
      <c r="D74" s="42"/>
      <c r="E74" s="42"/>
      <c r="F74" s="42"/>
      <c r="G74" s="42"/>
      <c r="H74" s="42"/>
      <c r="I74" s="45"/>
    </row>
    <row r="75" spans="2:9" ht="18" x14ac:dyDescent="0.3">
      <c r="B75" s="154" t="s">
        <v>43</v>
      </c>
      <c r="C75" s="155"/>
      <c r="D75" s="155"/>
      <c r="E75" s="155"/>
      <c r="F75" s="155"/>
      <c r="G75" s="155"/>
      <c r="H75" s="155"/>
      <c r="I75" s="106">
        <f>I76+I80+I88+I92</f>
        <v>1713123</v>
      </c>
    </row>
    <row r="76" spans="2:9" ht="18" x14ac:dyDescent="0.3">
      <c r="B76" s="29" t="s">
        <v>49</v>
      </c>
      <c r="C76" s="42"/>
      <c r="D76" s="42"/>
      <c r="E76" s="42"/>
      <c r="F76" s="42"/>
      <c r="G76" s="42"/>
      <c r="H76" s="42"/>
      <c r="I76" s="45">
        <v>60169</v>
      </c>
    </row>
    <row r="77" spans="2:9" ht="18" x14ac:dyDescent="0.3">
      <c r="B77" s="30" t="s">
        <v>105</v>
      </c>
      <c r="C77" s="42"/>
      <c r="D77" s="42"/>
      <c r="E77" s="42"/>
      <c r="F77" s="42"/>
      <c r="G77" s="42"/>
      <c r="H77" s="42"/>
      <c r="I77" s="45"/>
    </row>
    <row r="78" spans="2:9" ht="18" x14ac:dyDescent="0.3">
      <c r="B78" s="30" t="s">
        <v>106</v>
      </c>
      <c r="C78" s="42"/>
      <c r="D78" s="42"/>
      <c r="E78" s="42"/>
      <c r="F78" s="42"/>
      <c r="G78" s="42"/>
      <c r="H78" s="42"/>
      <c r="I78" s="45"/>
    </row>
    <row r="79" spans="2:9" ht="18" x14ac:dyDescent="0.3">
      <c r="B79" s="30"/>
      <c r="C79" s="42"/>
      <c r="D79" s="42"/>
      <c r="E79" s="42"/>
      <c r="F79" s="42"/>
      <c r="G79" s="42"/>
      <c r="H79" s="42"/>
      <c r="I79" s="45"/>
    </row>
    <row r="80" spans="2:9" ht="18" x14ac:dyDescent="0.3">
      <c r="B80" s="29" t="s">
        <v>50</v>
      </c>
      <c r="C80" s="42"/>
      <c r="D80" s="42"/>
      <c r="E80" s="42"/>
      <c r="F80" s="42"/>
      <c r="G80" s="42"/>
      <c r="H80" s="42"/>
      <c r="I80" s="45">
        <v>625710</v>
      </c>
    </row>
    <row r="81" spans="2:9" ht="18" x14ac:dyDescent="0.3">
      <c r="B81" s="30" t="s">
        <v>108</v>
      </c>
      <c r="C81" s="42"/>
      <c r="D81" s="42"/>
      <c r="E81" s="42"/>
      <c r="F81" s="42"/>
      <c r="G81" s="42"/>
      <c r="H81" s="42"/>
      <c r="I81" s="45"/>
    </row>
    <row r="82" spans="2:9" ht="18" x14ac:dyDescent="0.3">
      <c r="B82" s="30" t="s">
        <v>107</v>
      </c>
      <c r="C82" s="42"/>
      <c r="D82" s="42"/>
      <c r="E82" s="42"/>
      <c r="F82" s="42"/>
      <c r="G82" s="42"/>
      <c r="H82" s="42"/>
      <c r="I82" s="45"/>
    </row>
    <row r="83" spans="2:9" ht="18" x14ac:dyDescent="0.3">
      <c r="B83" s="30"/>
      <c r="C83" s="42"/>
      <c r="D83" s="42"/>
      <c r="E83" s="42"/>
      <c r="F83" s="42"/>
      <c r="G83" s="42"/>
      <c r="H83" s="42"/>
      <c r="I83" s="45"/>
    </row>
    <row r="84" spans="2:9" ht="18" x14ac:dyDescent="0.3">
      <c r="B84" s="30" t="s">
        <v>44</v>
      </c>
      <c r="C84" s="42"/>
      <c r="D84" s="42"/>
      <c r="E84" s="42"/>
      <c r="F84" s="42"/>
      <c r="G84" s="42"/>
      <c r="H84" s="42"/>
      <c r="I84" s="45"/>
    </row>
    <row r="85" spans="2:9" ht="18" x14ac:dyDescent="0.3">
      <c r="B85" s="30" t="s">
        <v>109</v>
      </c>
      <c r="C85" s="42"/>
      <c r="D85" s="42"/>
      <c r="E85" s="42"/>
      <c r="F85" s="42"/>
      <c r="G85" s="42"/>
      <c r="H85" s="42"/>
      <c r="I85" s="45"/>
    </row>
    <row r="86" spans="2:9" ht="18" x14ac:dyDescent="0.3">
      <c r="B86" s="30"/>
      <c r="C86" s="42"/>
      <c r="D86" s="42"/>
      <c r="E86" s="42"/>
      <c r="F86" s="42"/>
      <c r="G86" s="42"/>
      <c r="H86" s="42"/>
      <c r="I86" s="45"/>
    </row>
    <row r="87" spans="2:9" ht="18" x14ac:dyDescent="0.3">
      <c r="B87" s="30"/>
      <c r="C87" s="42"/>
      <c r="D87" s="42"/>
      <c r="E87" s="42"/>
      <c r="F87" s="42"/>
      <c r="G87" s="42"/>
      <c r="H87" s="42"/>
      <c r="I87" s="45"/>
    </row>
    <row r="88" spans="2:9" ht="18" x14ac:dyDescent="0.3">
      <c r="B88" s="29" t="s">
        <v>51</v>
      </c>
      <c r="C88" s="42"/>
      <c r="D88" s="42"/>
      <c r="E88" s="42"/>
      <c r="F88" s="42"/>
      <c r="G88" s="42"/>
      <c r="H88" s="42"/>
      <c r="I88" s="45">
        <v>1010350</v>
      </c>
    </row>
    <row r="89" spans="2:9" ht="18" x14ac:dyDescent="0.3">
      <c r="B89" s="30" t="s">
        <v>101</v>
      </c>
      <c r="C89" s="42"/>
      <c r="D89" s="42"/>
      <c r="E89" s="42"/>
      <c r="F89" s="42"/>
      <c r="G89" s="42"/>
      <c r="H89" s="42"/>
      <c r="I89" s="42"/>
    </row>
    <row r="90" spans="2:9" ht="18" x14ac:dyDescent="0.3">
      <c r="B90" s="30" t="s">
        <v>115</v>
      </c>
      <c r="C90" s="42"/>
      <c r="D90" s="42"/>
      <c r="E90" s="42"/>
      <c r="F90" s="42"/>
      <c r="G90" s="42"/>
      <c r="H90" s="42"/>
      <c r="I90" s="42"/>
    </row>
    <row r="91" spans="2:9" ht="18" x14ac:dyDescent="0.3">
      <c r="B91" s="30" t="s">
        <v>45</v>
      </c>
      <c r="C91" s="42"/>
      <c r="D91" s="42"/>
      <c r="E91" s="42"/>
      <c r="F91" s="42"/>
      <c r="G91" s="42"/>
      <c r="H91" s="42"/>
      <c r="I91" s="42"/>
    </row>
    <row r="92" spans="2:9" ht="18" x14ac:dyDescent="0.3">
      <c r="B92" s="154" t="s">
        <v>46</v>
      </c>
      <c r="C92" s="155"/>
      <c r="D92" s="155"/>
      <c r="E92" s="155"/>
      <c r="F92" s="155"/>
      <c r="G92" s="155"/>
      <c r="H92" s="155"/>
      <c r="I92" s="45">
        <f>G93+G96+G97+G99</f>
        <v>16894</v>
      </c>
    </row>
    <row r="93" spans="2:9" ht="18" x14ac:dyDescent="0.3">
      <c r="B93" s="30" t="s">
        <v>7</v>
      </c>
      <c r="C93" s="42"/>
      <c r="D93" s="42"/>
      <c r="E93" s="42"/>
      <c r="F93" s="42"/>
      <c r="G93" s="28">
        <v>7360</v>
      </c>
      <c r="H93" s="42"/>
      <c r="I93" s="42"/>
    </row>
    <row r="94" spans="2:9" ht="15.6" x14ac:dyDescent="0.3">
      <c r="B94" s="31" t="s">
        <v>100</v>
      </c>
      <c r="C94" s="42"/>
      <c r="D94" s="42"/>
      <c r="E94" s="42"/>
      <c r="F94" s="42"/>
      <c r="G94" s="42"/>
      <c r="H94" s="42"/>
      <c r="I94" s="42"/>
    </row>
    <row r="95" spans="2:9" ht="18" x14ac:dyDescent="0.3">
      <c r="B95" s="30" t="s">
        <v>47</v>
      </c>
      <c r="C95" s="30"/>
      <c r="D95" s="42"/>
      <c r="E95" s="30" t="s">
        <v>48</v>
      </c>
      <c r="F95" s="30"/>
      <c r="G95" s="42"/>
      <c r="H95" s="42"/>
      <c r="I95" s="42"/>
    </row>
    <row r="96" spans="2:9" ht="15.6" x14ac:dyDescent="0.3">
      <c r="B96" s="28" t="s">
        <v>110</v>
      </c>
      <c r="C96" s="42"/>
      <c r="D96" s="42"/>
      <c r="E96" s="42"/>
      <c r="F96" s="42"/>
      <c r="G96" s="27">
        <v>9534</v>
      </c>
      <c r="H96" s="42"/>
      <c r="I96" s="42"/>
    </row>
    <row r="97" spans="2:9" ht="15.6" x14ac:dyDescent="0.3">
      <c r="B97" s="42"/>
      <c r="C97" s="28"/>
      <c r="D97" s="42"/>
      <c r="E97" s="42"/>
      <c r="F97" s="42"/>
      <c r="G97" s="42"/>
      <c r="H97" s="42"/>
      <c r="I97" s="42"/>
    </row>
    <row r="98" spans="2:9" s="108" customFormat="1" ht="18" x14ac:dyDescent="0.35">
      <c r="B98" s="107" t="s">
        <v>113</v>
      </c>
      <c r="C98" s="109"/>
      <c r="D98" s="109"/>
      <c r="E98" s="109"/>
      <c r="F98" s="109"/>
      <c r="G98" s="109"/>
      <c r="H98" s="109"/>
      <c r="I98" s="109"/>
    </row>
    <row r="99" spans="2:9" s="108" customFormat="1" ht="18" x14ac:dyDescent="0.35">
      <c r="B99" s="109" t="s">
        <v>114</v>
      </c>
      <c r="C99" s="109"/>
      <c r="D99" s="109"/>
      <c r="E99" s="109"/>
      <c r="F99" s="109"/>
      <c r="G99" s="109"/>
      <c r="H99" s="110">
        <v>4000</v>
      </c>
      <c r="I99" s="109"/>
    </row>
    <row r="102" spans="2:9" ht="23.4" x14ac:dyDescent="0.45">
      <c r="C102" s="46" t="s">
        <v>52</v>
      </c>
      <c r="D102" s="46"/>
      <c r="E102" s="46"/>
      <c r="F102" s="46"/>
      <c r="G102" s="152">
        <f>I75+I52+I46+I26+I7+I6+H99</f>
        <v>6920146</v>
      </c>
      <c r="H102" s="153"/>
    </row>
    <row r="105" spans="2:9" ht="18" x14ac:dyDescent="0.35">
      <c r="C105" s="32" t="s">
        <v>2</v>
      </c>
      <c r="D105" s="32"/>
      <c r="E105" s="32"/>
      <c r="F105" s="32"/>
      <c r="G105" s="32"/>
      <c r="H105" s="32" t="s">
        <v>79</v>
      </c>
      <c r="I105" s="42"/>
    </row>
    <row r="106" spans="2:9" ht="18" x14ac:dyDescent="0.35">
      <c r="C106" s="32"/>
      <c r="D106" s="32"/>
      <c r="E106" s="32"/>
      <c r="F106" s="32"/>
      <c r="G106" s="32"/>
      <c r="H106" s="32"/>
      <c r="I106" s="42"/>
    </row>
    <row r="107" spans="2:9" ht="18" x14ac:dyDescent="0.35">
      <c r="C107" s="32"/>
      <c r="D107" s="32"/>
      <c r="E107" s="32"/>
      <c r="F107" s="32"/>
      <c r="G107" s="32"/>
      <c r="H107" s="32"/>
      <c r="I107" s="42"/>
    </row>
    <row r="108" spans="2:9" ht="18" x14ac:dyDescent="0.35">
      <c r="C108" s="32" t="s">
        <v>3</v>
      </c>
      <c r="D108" s="32"/>
      <c r="E108" s="32"/>
      <c r="F108" s="32"/>
      <c r="G108" s="32"/>
      <c r="H108" s="32" t="s">
        <v>80</v>
      </c>
      <c r="I108" s="42"/>
    </row>
  </sheetData>
  <mergeCells count="46">
    <mergeCell ref="B67:E67"/>
    <mergeCell ref="B68:E68"/>
    <mergeCell ref="F54:G54"/>
    <mergeCell ref="H54:H55"/>
    <mergeCell ref="B56:E56"/>
    <mergeCell ref="B64:E64"/>
    <mergeCell ref="B65:E65"/>
    <mergeCell ref="B66:E66"/>
    <mergeCell ref="B63:E63"/>
    <mergeCell ref="B60:E60"/>
    <mergeCell ref="B59:E59"/>
    <mergeCell ref="B61:E61"/>
    <mergeCell ref="B62:E62"/>
    <mergeCell ref="B57:E57"/>
    <mergeCell ref="B58:E58"/>
    <mergeCell ref="B69:E69"/>
    <mergeCell ref="B70:E70"/>
    <mergeCell ref="G102:H102"/>
    <mergeCell ref="B71:E71"/>
    <mergeCell ref="B75:H75"/>
    <mergeCell ref="B92:H92"/>
    <mergeCell ref="B2:N2"/>
    <mergeCell ref="B3:N3"/>
    <mergeCell ref="H28:H29"/>
    <mergeCell ref="B15:D15"/>
    <mergeCell ref="B18:D18"/>
    <mergeCell ref="B9:E9"/>
    <mergeCell ref="C21:D21"/>
    <mergeCell ref="B26:F26"/>
    <mergeCell ref="F28:G28"/>
    <mergeCell ref="B38:E38"/>
    <mergeCell ref="B39:E39"/>
    <mergeCell ref="B37:E37"/>
    <mergeCell ref="B40:E40"/>
    <mergeCell ref="B30:E30"/>
    <mergeCell ref="B31:E31"/>
    <mergeCell ref="B32:E32"/>
    <mergeCell ref="B36:E36"/>
    <mergeCell ref="B33:E33"/>
    <mergeCell ref="B34:E34"/>
    <mergeCell ref="B35:E35"/>
    <mergeCell ref="B43:E43"/>
    <mergeCell ref="B54:E55"/>
    <mergeCell ref="B42:E42"/>
    <mergeCell ref="B41:E41"/>
    <mergeCell ref="B28:E29"/>
  </mergeCell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9"/>
  <sheetViews>
    <sheetView view="pageBreakPreview" zoomScale="60" zoomScaleNormal="100" workbookViewId="0">
      <selection activeCell="F57" sqref="F57"/>
    </sheetView>
  </sheetViews>
  <sheetFormatPr defaultRowHeight="14.4" x14ac:dyDescent="0.3"/>
  <cols>
    <col min="2" max="3" width="12.109375" customWidth="1"/>
    <col min="4" max="4" width="10.109375" customWidth="1"/>
    <col min="5" max="5" width="10.88671875" customWidth="1"/>
    <col min="6" max="6" width="11.5546875" bestFit="1" customWidth="1"/>
    <col min="7" max="7" width="17.44140625" customWidth="1"/>
    <col min="8" max="9" width="11.5546875" bestFit="1" customWidth="1"/>
    <col min="10" max="10" width="10.44140625" bestFit="1" customWidth="1"/>
    <col min="11" max="12" width="11.5546875" bestFit="1" customWidth="1"/>
    <col min="13" max="13" width="13.5546875" customWidth="1"/>
  </cols>
  <sheetData>
    <row r="2" spans="2:13" ht="21" x14ac:dyDescent="0.4">
      <c r="B2" s="171" t="s">
        <v>81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2:13" ht="17.399999999999999" x14ac:dyDescent="0.35">
      <c r="B3" s="173" t="s">
        <v>78</v>
      </c>
      <c r="C3" s="173"/>
      <c r="D3" s="173"/>
      <c r="E3" s="173"/>
      <c r="F3" s="173"/>
      <c r="G3" s="173"/>
      <c r="H3" s="173"/>
      <c r="I3" s="174"/>
      <c r="J3" s="174"/>
      <c r="K3" s="174"/>
      <c r="L3" s="174"/>
      <c r="M3" s="174"/>
    </row>
    <row r="4" spans="2:13" ht="17.399999999999999" x14ac:dyDescent="0.3">
      <c r="B4" s="62"/>
      <c r="C4" s="62"/>
      <c r="D4" s="62"/>
      <c r="E4" s="62"/>
      <c r="F4" s="62"/>
      <c r="G4" s="62"/>
      <c r="H4" s="62"/>
    </row>
    <row r="5" spans="2:13" ht="17.399999999999999" x14ac:dyDescent="0.3">
      <c r="B5" s="62"/>
      <c r="C5" s="62" t="s">
        <v>4</v>
      </c>
      <c r="D5" s="62"/>
      <c r="E5" s="62"/>
      <c r="F5" s="62"/>
      <c r="G5" s="62"/>
      <c r="H5" s="62"/>
    </row>
    <row r="6" spans="2:13" ht="17.399999999999999" x14ac:dyDescent="0.3">
      <c r="B6" s="62" t="s">
        <v>0</v>
      </c>
      <c r="C6" s="7" t="s">
        <v>5</v>
      </c>
      <c r="D6" s="7"/>
      <c r="E6" s="7"/>
      <c r="F6" s="7"/>
      <c r="G6" s="7"/>
      <c r="H6" s="7"/>
      <c r="I6" s="26">
        <f>E28</f>
        <v>8316981</v>
      </c>
    </row>
    <row r="7" spans="2:13" ht="17.399999999999999" x14ac:dyDescent="0.3">
      <c r="B7" s="2" t="s">
        <v>1</v>
      </c>
      <c r="C7" s="3" t="s">
        <v>6</v>
      </c>
      <c r="D7" s="2"/>
      <c r="E7" s="4"/>
      <c r="F7" s="4"/>
      <c r="G7" s="4"/>
      <c r="H7" s="4"/>
      <c r="I7" s="26">
        <f>E29+E44</f>
        <v>1831318.82</v>
      </c>
    </row>
    <row r="8" spans="2:13" ht="15.6" x14ac:dyDescent="0.3">
      <c r="B8" s="2"/>
      <c r="C8" s="3"/>
      <c r="D8" s="2"/>
      <c r="E8" s="4"/>
      <c r="F8" s="4"/>
      <c r="G8" s="4"/>
      <c r="H8" s="4"/>
    </row>
    <row r="9" spans="2:13" ht="69.599999999999994" x14ac:dyDescent="0.3">
      <c r="B9" s="63"/>
      <c r="C9" s="48" t="s">
        <v>10</v>
      </c>
      <c r="D9" s="49" t="s">
        <v>11</v>
      </c>
      <c r="E9" s="50" t="s">
        <v>12</v>
      </c>
      <c r="F9" s="50" t="s">
        <v>60</v>
      </c>
      <c r="G9" s="50" t="s">
        <v>53</v>
      </c>
      <c r="H9" s="50" t="s">
        <v>54</v>
      </c>
      <c r="I9" s="50" t="s">
        <v>55</v>
      </c>
      <c r="J9" s="50" t="s">
        <v>56</v>
      </c>
      <c r="K9" s="64" t="s">
        <v>73</v>
      </c>
      <c r="L9" s="64" t="s">
        <v>57</v>
      </c>
      <c r="M9" s="64" t="s">
        <v>14</v>
      </c>
    </row>
    <row r="10" spans="2:13" ht="15.6" x14ac:dyDescent="0.3">
      <c r="B10" s="11" t="s">
        <v>17</v>
      </c>
      <c r="C10" s="22">
        <v>2189890</v>
      </c>
      <c r="D10" s="23">
        <v>325589</v>
      </c>
      <c r="E10" s="22">
        <v>495779</v>
      </c>
      <c r="F10" s="22">
        <v>121872</v>
      </c>
      <c r="G10" s="22">
        <v>191714</v>
      </c>
      <c r="H10" s="22">
        <v>129439</v>
      </c>
      <c r="I10" s="51">
        <v>71686</v>
      </c>
      <c r="J10" s="51">
        <v>44257</v>
      </c>
      <c r="K10" s="51">
        <v>96224</v>
      </c>
      <c r="L10" s="51">
        <v>105787</v>
      </c>
      <c r="M10" s="51">
        <f>C10+D10+E10+G10+H10+I10+J10+K10+L10+F10</f>
        <v>3772237</v>
      </c>
    </row>
    <row r="11" spans="2:13" ht="15.6" x14ac:dyDescent="0.3">
      <c r="B11" s="11" t="s">
        <v>8</v>
      </c>
      <c r="C11" s="22">
        <v>1917397</v>
      </c>
      <c r="D11" s="23">
        <v>457749</v>
      </c>
      <c r="E11" s="22">
        <v>505386</v>
      </c>
      <c r="F11" s="22">
        <v>107561</v>
      </c>
      <c r="G11" s="22">
        <v>162746</v>
      </c>
      <c r="H11" s="22">
        <v>43164</v>
      </c>
      <c r="I11" s="51">
        <v>73755</v>
      </c>
      <c r="J11" s="51">
        <v>35965</v>
      </c>
      <c r="K11" s="51">
        <v>8056</v>
      </c>
      <c r="L11" s="51">
        <v>0</v>
      </c>
      <c r="M11" s="51">
        <f>C11+D11+E11+G11+H11+I11+J11+K11+L11+F11</f>
        <v>3311779</v>
      </c>
    </row>
    <row r="12" spans="2:13" ht="30.6" x14ac:dyDescent="0.3">
      <c r="B12" s="11" t="s">
        <v>9</v>
      </c>
      <c r="C12" s="22">
        <f>C10+C11</f>
        <v>4107287</v>
      </c>
      <c r="D12" s="22">
        <f>D10+D11</f>
        <v>783338</v>
      </c>
      <c r="E12" s="22">
        <f t="shared" ref="E12:L12" si="0">E10+E11</f>
        <v>1001165</v>
      </c>
      <c r="F12" s="22">
        <f t="shared" si="0"/>
        <v>229433</v>
      </c>
      <c r="G12" s="22">
        <f t="shared" si="0"/>
        <v>354460</v>
      </c>
      <c r="H12" s="22">
        <f t="shared" si="0"/>
        <v>172603</v>
      </c>
      <c r="I12" s="22">
        <f t="shared" si="0"/>
        <v>145441</v>
      </c>
      <c r="J12" s="22">
        <f t="shared" si="0"/>
        <v>80222</v>
      </c>
      <c r="K12" s="22">
        <f t="shared" si="0"/>
        <v>104280</v>
      </c>
      <c r="L12" s="22">
        <f t="shared" si="0"/>
        <v>105787</v>
      </c>
      <c r="M12" s="51">
        <f>C12+D12+E12+G12+H12+I12+J12+K12+L12+F12</f>
        <v>7084016</v>
      </c>
    </row>
    <row r="13" spans="2:13" ht="15.6" x14ac:dyDescent="0.3">
      <c r="B13" s="5"/>
      <c r="C13" s="9"/>
      <c r="D13" s="5"/>
      <c r="E13" s="6"/>
      <c r="F13" s="6"/>
      <c r="G13" s="6"/>
      <c r="H13" s="6"/>
      <c r="I13" s="10"/>
      <c r="J13" s="10"/>
      <c r="K13" s="10"/>
      <c r="L13" s="10"/>
      <c r="M13" s="10"/>
    </row>
    <row r="14" spans="2:13" ht="15.6" x14ac:dyDescent="0.3">
      <c r="B14" s="137" t="s">
        <v>15</v>
      </c>
      <c r="C14" s="138"/>
      <c r="D14" s="138"/>
      <c r="E14" s="12">
        <f>E15+E16</f>
        <v>339699</v>
      </c>
      <c r="F14" s="54"/>
      <c r="G14" s="13"/>
      <c r="H14" s="4"/>
    </row>
    <row r="15" spans="2:13" ht="15.6" x14ac:dyDescent="0.3">
      <c r="B15" s="18"/>
      <c r="C15" s="19"/>
      <c r="D15" s="20" t="s">
        <v>7</v>
      </c>
      <c r="E15" s="14">
        <v>181130</v>
      </c>
      <c r="F15" s="55"/>
      <c r="G15" s="13"/>
      <c r="H15" s="4"/>
    </row>
    <row r="16" spans="2:13" ht="15.6" x14ac:dyDescent="0.3">
      <c r="B16" s="15"/>
      <c r="C16" s="16"/>
      <c r="D16" s="17" t="s">
        <v>8</v>
      </c>
      <c r="E16" s="14">
        <v>158569</v>
      </c>
      <c r="F16" s="55"/>
      <c r="G16" s="13"/>
      <c r="H16" s="4"/>
    </row>
    <row r="17" spans="2:9" ht="15.6" x14ac:dyDescent="0.3">
      <c r="B17" s="139" t="s">
        <v>16</v>
      </c>
      <c r="C17" s="140"/>
      <c r="D17" s="140"/>
      <c r="E17" s="12">
        <f>E18+E19</f>
        <v>370618</v>
      </c>
      <c r="F17" s="54"/>
      <c r="G17" s="13" t="s">
        <v>18</v>
      </c>
      <c r="H17" s="4"/>
      <c r="I17">
        <v>1583</v>
      </c>
    </row>
    <row r="18" spans="2:9" ht="15.6" x14ac:dyDescent="0.3">
      <c r="B18" s="18"/>
      <c r="C18" s="19"/>
      <c r="D18" s="20" t="s">
        <v>7</v>
      </c>
      <c r="E18" s="14">
        <v>197470</v>
      </c>
      <c r="F18" s="55"/>
      <c r="G18" s="13"/>
      <c r="H18" s="4"/>
    </row>
    <row r="19" spans="2:9" ht="15.6" x14ac:dyDescent="0.3">
      <c r="B19" s="15"/>
      <c r="C19" s="16"/>
      <c r="D19" s="17" t="s">
        <v>8</v>
      </c>
      <c r="E19" s="14">
        <v>173148</v>
      </c>
      <c r="F19" s="55"/>
      <c r="G19" s="13"/>
      <c r="H19" s="4"/>
    </row>
    <row r="20" spans="2:9" ht="15.6" x14ac:dyDescent="0.3">
      <c r="B20" s="139" t="s">
        <v>58</v>
      </c>
      <c r="C20" s="140"/>
      <c r="D20" s="140"/>
      <c r="E20" s="12">
        <f>E21+E22</f>
        <v>339681</v>
      </c>
      <c r="F20" s="54"/>
      <c r="G20" s="13"/>
      <c r="H20" s="4"/>
    </row>
    <row r="21" spans="2:9" ht="15.6" x14ac:dyDescent="0.3">
      <c r="B21" s="18"/>
      <c r="C21" s="19"/>
      <c r="D21" s="20" t="s">
        <v>7</v>
      </c>
      <c r="E21" s="14">
        <v>181130</v>
      </c>
      <c r="F21" s="55"/>
      <c r="G21" s="13"/>
      <c r="H21" s="4"/>
    </row>
    <row r="22" spans="2:9" ht="15.6" x14ac:dyDescent="0.3">
      <c r="B22" s="166" t="s">
        <v>8</v>
      </c>
      <c r="C22" s="167"/>
      <c r="D22" s="168"/>
      <c r="E22" s="14">
        <v>158551</v>
      </c>
      <c r="F22" s="55"/>
      <c r="G22" s="13"/>
      <c r="H22" s="4"/>
    </row>
    <row r="23" spans="2:9" ht="15.6" x14ac:dyDescent="0.3">
      <c r="B23" s="139" t="s">
        <v>74</v>
      </c>
      <c r="C23" s="140"/>
      <c r="D23" s="140"/>
      <c r="E23" s="12">
        <f>E24+E25</f>
        <v>40500</v>
      </c>
      <c r="F23" s="54"/>
      <c r="G23" s="13"/>
      <c r="H23" s="4"/>
    </row>
    <row r="24" spans="2:9" ht="15.6" x14ac:dyDescent="0.3">
      <c r="B24" s="18"/>
      <c r="C24" s="19"/>
      <c r="D24" s="20" t="s">
        <v>7</v>
      </c>
      <c r="E24" s="14">
        <v>20500</v>
      </c>
      <c r="F24" s="55"/>
      <c r="G24" s="13"/>
      <c r="H24" s="4"/>
    </row>
    <row r="25" spans="2:9" ht="15.6" x14ac:dyDescent="0.3">
      <c r="B25" s="166" t="s">
        <v>8</v>
      </c>
      <c r="C25" s="167"/>
      <c r="D25" s="168"/>
      <c r="E25" s="14">
        <v>20000</v>
      </c>
      <c r="F25" s="55"/>
      <c r="G25" s="13"/>
      <c r="H25" s="4"/>
    </row>
    <row r="26" spans="2:9" ht="15.6" x14ac:dyDescent="0.3">
      <c r="B26" s="169" t="s">
        <v>59</v>
      </c>
      <c r="C26" s="170"/>
      <c r="D26" s="170"/>
      <c r="E26" s="53">
        <v>142467</v>
      </c>
      <c r="F26" s="56"/>
      <c r="G26" s="13"/>
      <c r="H26" s="4"/>
    </row>
    <row r="27" spans="2:9" ht="15.6" x14ac:dyDescent="0.3">
      <c r="B27" s="2"/>
      <c r="C27" s="3"/>
      <c r="D27" s="2"/>
      <c r="E27" s="10"/>
      <c r="F27" s="10"/>
      <c r="G27" s="13"/>
      <c r="H27" s="4"/>
    </row>
    <row r="28" spans="2:9" ht="15.6" x14ac:dyDescent="0.3">
      <c r="B28" s="2"/>
      <c r="C28" s="3" t="s">
        <v>0</v>
      </c>
      <c r="D28" s="2"/>
      <c r="E28" s="24">
        <f>M12+E14+E17+E20+E26+E23</f>
        <v>8316981</v>
      </c>
      <c r="F28" s="24"/>
      <c r="G28" s="13"/>
      <c r="H28" s="4"/>
    </row>
    <row r="29" spans="2:9" ht="15.6" x14ac:dyDescent="0.3">
      <c r="B29" s="2"/>
      <c r="C29" s="3" t="s">
        <v>1</v>
      </c>
      <c r="D29" s="2"/>
      <c r="E29" s="24">
        <f>E28*0.22+I17</f>
        <v>1831318.82</v>
      </c>
      <c r="F29" s="24"/>
      <c r="G29" s="13"/>
      <c r="H29" s="4"/>
    </row>
    <row r="33" spans="3:9" ht="20.399999999999999" x14ac:dyDescent="0.35">
      <c r="C33" s="72" t="s">
        <v>20</v>
      </c>
      <c r="D33" s="72"/>
      <c r="E33" s="72"/>
      <c r="F33" s="72"/>
      <c r="G33" s="73">
        <f>I6+I7</f>
        <v>10148299.82</v>
      </c>
    </row>
    <row r="36" spans="3:9" ht="18" x14ac:dyDescent="0.35">
      <c r="C36" s="32" t="s">
        <v>2</v>
      </c>
      <c r="D36" s="32"/>
      <c r="E36" s="32"/>
      <c r="F36" s="32"/>
      <c r="G36" s="32"/>
      <c r="H36" s="32" t="s">
        <v>79</v>
      </c>
      <c r="I36" s="42"/>
    </row>
    <row r="37" spans="3:9" ht="18" x14ac:dyDescent="0.35">
      <c r="C37" s="32"/>
      <c r="D37" s="32"/>
      <c r="E37" s="32"/>
      <c r="F37" s="32"/>
      <c r="G37" s="32"/>
      <c r="H37" s="32"/>
      <c r="I37" s="42"/>
    </row>
    <row r="38" spans="3:9" ht="18" x14ac:dyDescent="0.35">
      <c r="C38" s="32"/>
      <c r="D38" s="32"/>
      <c r="E38" s="32"/>
      <c r="F38" s="32"/>
      <c r="G38" s="32"/>
      <c r="H38" s="32"/>
      <c r="I38" s="42"/>
    </row>
    <row r="39" spans="3:9" ht="18" x14ac:dyDescent="0.35">
      <c r="C39" s="32" t="s">
        <v>3</v>
      </c>
      <c r="D39" s="32"/>
      <c r="E39" s="32"/>
      <c r="F39" s="32"/>
      <c r="G39" s="32"/>
      <c r="H39" s="32" t="s">
        <v>80</v>
      </c>
      <c r="I39" s="42"/>
    </row>
  </sheetData>
  <mergeCells count="9">
    <mergeCell ref="B25:D25"/>
    <mergeCell ref="B26:D26"/>
    <mergeCell ref="B2:M2"/>
    <mergeCell ref="B3:M3"/>
    <mergeCell ref="B14:D14"/>
    <mergeCell ref="B17:D17"/>
    <mergeCell ref="B20:D20"/>
    <mergeCell ref="B22:D22"/>
    <mergeCell ref="B23:D23"/>
  </mergeCells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94"/>
  <sheetViews>
    <sheetView view="pageBreakPreview" zoomScale="60" zoomScaleNormal="100" workbookViewId="0">
      <selection sqref="A1:XFD1048576"/>
    </sheetView>
  </sheetViews>
  <sheetFormatPr defaultRowHeight="14.4" x14ac:dyDescent="0.3"/>
  <cols>
    <col min="1" max="1" width="3.5546875" customWidth="1"/>
    <col min="2" max="2" width="11.88671875" customWidth="1"/>
    <col min="3" max="3" width="14.109375" customWidth="1"/>
    <col min="4" max="4" width="12.109375" customWidth="1"/>
    <col min="5" max="8" width="14.6640625" customWidth="1"/>
    <col min="9" max="10" width="14" customWidth="1"/>
    <col min="11" max="11" width="13.44140625" customWidth="1"/>
    <col min="12" max="12" width="14.33203125" customWidth="1"/>
    <col min="13" max="13" width="10.6640625" customWidth="1"/>
    <col min="14" max="14" width="12.6640625" customWidth="1"/>
    <col min="15" max="15" width="12" customWidth="1"/>
    <col min="16" max="16" width="13" bestFit="1" customWidth="1"/>
    <col min="261" max="261" width="5.33203125" customWidth="1"/>
    <col min="262" max="262" width="10.44140625" customWidth="1"/>
    <col min="263" max="263" width="39.88671875" customWidth="1"/>
    <col min="265" max="265" width="14.6640625" customWidth="1"/>
    <col min="267" max="267" width="15.5546875" customWidth="1"/>
    <col min="517" max="517" width="5.33203125" customWidth="1"/>
    <col min="518" max="518" width="10.44140625" customWidth="1"/>
    <col min="519" max="519" width="39.88671875" customWidth="1"/>
    <col min="521" max="521" width="14.6640625" customWidth="1"/>
    <col min="523" max="523" width="15.5546875" customWidth="1"/>
    <col min="773" max="773" width="5.33203125" customWidth="1"/>
    <col min="774" max="774" width="10.44140625" customWidth="1"/>
    <col min="775" max="775" width="39.88671875" customWidth="1"/>
    <col min="777" max="777" width="14.6640625" customWidth="1"/>
    <col min="779" max="779" width="15.5546875" customWidth="1"/>
    <col min="1029" max="1029" width="5.33203125" customWidth="1"/>
    <col min="1030" max="1030" width="10.44140625" customWidth="1"/>
    <col min="1031" max="1031" width="39.88671875" customWidth="1"/>
    <col min="1033" max="1033" width="14.6640625" customWidth="1"/>
    <col min="1035" max="1035" width="15.5546875" customWidth="1"/>
    <col min="1285" max="1285" width="5.33203125" customWidth="1"/>
    <col min="1286" max="1286" width="10.44140625" customWidth="1"/>
    <col min="1287" max="1287" width="39.88671875" customWidth="1"/>
    <col min="1289" max="1289" width="14.6640625" customWidth="1"/>
    <col min="1291" max="1291" width="15.5546875" customWidth="1"/>
    <col min="1541" max="1541" width="5.33203125" customWidth="1"/>
    <col min="1542" max="1542" width="10.44140625" customWidth="1"/>
    <col min="1543" max="1543" width="39.88671875" customWidth="1"/>
    <col min="1545" max="1545" width="14.6640625" customWidth="1"/>
    <col min="1547" max="1547" width="15.5546875" customWidth="1"/>
    <col min="1797" max="1797" width="5.33203125" customWidth="1"/>
    <col min="1798" max="1798" width="10.44140625" customWidth="1"/>
    <col min="1799" max="1799" width="39.88671875" customWidth="1"/>
    <col min="1801" max="1801" width="14.6640625" customWidth="1"/>
    <col min="1803" max="1803" width="15.5546875" customWidth="1"/>
    <col min="2053" max="2053" width="5.33203125" customWidth="1"/>
    <col min="2054" max="2054" width="10.44140625" customWidth="1"/>
    <col min="2055" max="2055" width="39.88671875" customWidth="1"/>
    <col min="2057" max="2057" width="14.6640625" customWidth="1"/>
    <col min="2059" max="2059" width="15.5546875" customWidth="1"/>
    <col min="2309" max="2309" width="5.33203125" customWidth="1"/>
    <col min="2310" max="2310" width="10.44140625" customWidth="1"/>
    <col min="2311" max="2311" width="39.88671875" customWidth="1"/>
    <col min="2313" max="2313" width="14.6640625" customWidth="1"/>
    <col min="2315" max="2315" width="15.5546875" customWidth="1"/>
    <col min="2565" max="2565" width="5.33203125" customWidth="1"/>
    <col min="2566" max="2566" width="10.44140625" customWidth="1"/>
    <col min="2567" max="2567" width="39.88671875" customWidth="1"/>
    <col min="2569" max="2569" width="14.6640625" customWidth="1"/>
    <col min="2571" max="2571" width="15.5546875" customWidth="1"/>
    <col min="2821" max="2821" width="5.33203125" customWidth="1"/>
    <col min="2822" max="2822" width="10.44140625" customWidth="1"/>
    <col min="2823" max="2823" width="39.88671875" customWidth="1"/>
    <col min="2825" max="2825" width="14.6640625" customWidth="1"/>
    <col min="2827" max="2827" width="15.5546875" customWidth="1"/>
    <col min="3077" max="3077" width="5.33203125" customWidth="1"/>
    <col min="3078" max="3078" width="10.44140625" customWidth="1"/>
    <col min="3079" max="3079" width="39.88671875" customWidth="1"/>
    <col min="3081" max="3081" width="14.6640625" customWidth="1"/>
    <col min="3083" max="3083" width="15.5546875" customWidth="1"/>
    <col min="3333" max="3333" width="5.33203125" customWidth="1"/>
    <col min="3334" max="3334" width="10.44140625" customWidth="1"/>
    <col min="3335" max="3335" width="39.88671875" customWidth="1"/>
    <col min="3337" max="3337" width="14.6640625" customWidth="1"/>
    <col min="3339" max="3339" width="15.5546875" customWidth="1"/>
    <col min="3589" max="3589" width="5.33203125" customWidth="1"/>
    <col min="3590" max="3590" width="10.44140625" customWidth="1"/>
    <col min="3591" max="3591" width="39.88671875" customWidth="1"/>
    <col min="3593" max="3593" width="14.6640625" customWidth="1"/>
    <col min="3595" max="3595" width="15.5546875" customWidth="1"/>
    <col min="3845" max="3845" width="5.33203125" customWidth="1"/>
    <col min="3846" max="3846" width="10.44140625" customWidth="1"/>
    <col min="3847" max="3847" width="39.88671875" customWidth="1"/>
    <col min="3849" max="3849" width="14.6640625" customWidth="1"/>
    <col min="3851" max="3851" width="15.5546875" customWidth="1"/>
    <col min="4101" max="4101" width="5.33203125" customWidth="1"/>
    <col min="4102" max="4102" width="10.44140625" customWidth="1"/>
    <col min="4103" max="4103" width="39.88671875" customWidth="1"/>
    <col min="4105" max="4105" width="14.6640625" customWidth="1"/>
    <col min="4107" max="4107" width="15.5546875" customWidth="1"/>
    <col min="4357" max="4357" width="5.33203125" customWidth="1"/>
    <col min="4358" max="4358" width="10.44140625" customWidth="1"/>
    <col min="4359" max="4359" width="39.88671875" customWidth="1"/>
    <col min="4361" max="4361" width="14.6640625" customWidth="1"/>
    <col min="4363" max="4363" width="15.5546875" customWidth="1"/>
    <col min="4613" max="4613" width="5.33203125" customWidth="1"/>
    <col min="4614" max="4614" width="10.44140625" customWidth="1"/>
    <col min="4615" max="4615" width="39.88671875" customWidth="1"/>
    <col min="4617" max="4617" width="14.6640625" customWidth="1"/>
    <col min="4619" max="4619" width="15.5546875" customWidth="1"/>
    <col min="4869" max="4869" width="5.33203125" customWidth="1"/>
    <col min="4870" max="4870" width="10.44140625" customWidth="1"/>
    <col min="4871" max="4871" width="39.88671875" customWidth="1"/>
    <col min="4873" max="4873" width="14.6640625" customWidth="1"/>
    <col min="4875" max="4875" width="15.5546875" customWidth="1"/>
    <col min="5125" max="5125" width="5.33203125" customWidth="1"/>
    <col min="5126" max="5126" width="10.44140625" customWidth="1"/>
    <col min="5127" max="5127" width="39.88671875" customWidth="1"/>
    <col min="5129" max="5129" width="14.6640625" customWidth="1"/>
    <col min="5131" max="5131" width="15.5546875" customWidth="1"/>
    <col min="5381" max="5381" width="5.33203125" customWidth="1"/>
    <col min="5382" max="5382" width="10.44140625" customWidth="1"/>
    <col min="5383" max="5383" width="39.88671875" customWidth="1"/>
    <col min="5385" max="5385" width="14.6640625" customWidth="1"/>
    <col min="5387" max="5387" width="15.5546875" customWidth="1"/>
    <col min="5637" max="5637" width="5.33203125" customWidth="1"/>
    <col min="5638" max="5638" width="10.44140625" customWidth="1"/>
    <col min="5639" max="5639" width="39.88671875" customWidth="1"/>
    <col min="5641" max="5641" width="14.6640625" customWidth="1"/>
    <col min="5643" max="5643" width="15.5546875" customWidth="1"/>
    <col min="5893" max="5893" width="5.33203125" customWidth="1"/>
    <col min="5894" max="5894" width="10.44140625" customWidth="1"/>
    <col min="5895" max="5895" width="39.88671875" customWidth="1"/>
    <col min="5897" max="5897" width="14.6640625" customWidth="1"/>
    <col min="5899" max="5899" width="15.5546875" customWidth="1"/>
    <col min="6149" max="6149" width="5.33203125" customWidth="1"/>
    <col min="6150" max="6150" width="10.44140625" customWidth="1"/>
    <col min="6151" max="6151" width="39.88671875" customWidth="1"/>
    <col min="6153" max="6153" width="14.6640625" customWidth="1"/>
    <col min="6155" max="6155" width="15.5546875" customWidth="1"/>
    <col min="6405" max="6405" width="5.33203125" customWidth="1"/>
    <col min="6406" max="6406" width="10.44140625" customWidth="1"/>
    <col min="6407" max="6407" width="39.88671875" customWidth="1"/>
    <col min="6409" max="6409" width="14.6640625" customWidth="1"/>
    <col min="6411" max="6411" width="15.5546875" customWidth="1"/>
    <col min="6661" max="6661" width="5.33203125" customWidth="1"/>
    <col min="6662" max="6662" width="10.44140625" customWidth="1"/>
    <col min="6663" max="6663" width="39.88671875" customWidth="1"/>
    <col min="6665" max="6665" width="14.6640625" customWidth="1"/>
    <col min="6667" max="6667" width="15.5546875" customWidth="1"/>
    <col min="6917" max="6917" width="5.33203125" customWidth="1"/>
    <col min="6918" max="6918" width="10.44140625" customWidth="1"/>
    <col min="6919" max="6919" width="39.88671875" customWidth="1"/>
    <col min="6921" max="6921" width="14.6640625" customWidth="1"/>
    <col min="6923" max="6923" width="15.5546875" customWidth="1"/>
    <col min="7173" max="7173" width="5.33203125" customWidth="1"/>
    <col min="7174" max="7174" width="10.44140625" customWidth="1"/>
    <col min="7175" max="7175" width="39.88671875" customWidth="1"/>
    <col min="7177" max="7177" width="14.6640625" customWidth="1"/>
    <col min="7179" max="7179" width="15.5546875" customWidth="1"/>
    <col min="7429" max="7429" width="5.33203125" customWidth="1"/>
    <col min="7430" max="7430" width="10.44140625" customWidth="1"/>
    <col min="7431" max="7431" width="39.88671875" customWidth="1"/>
    <col min="7433" max="7433" width="14.6640625" customWidth="1"/>
    <col min="7435" max="7435" width="15.5546875" customWidth="1"/>
    <col min="7685" max="7685" width="5.33203125" customWidth="1"/>
    <col min="7686" max="7686" width="10.44140625" customWidth="1"/>
    <col min="7687" max="7687" width="39.88671875" customWidth="1"/>
    <col min="7689" max="7689" width="14.6640625" customWidth="1"/>
    <col min="7691" max="7691" width="15.5546875" customWidth="1"/>
    <col min="7941" max="7941" width="5.33203125" customWidth="1"/>
    <col min="7942" max="7942" width="10.44140625" customWidth="1"/>
    <col min="7943" max="7943" width="39.88671875" customWidth="1"/>
    <col min="7945" max="7945" width="14.6640625" customWidth="1"/>
    <col min="7947" max="7947" width="15.5546875" customWidth="1"/>
    <col min="8197" max="8197" width="5.33203125" customWidth="1"/>
    <col min="8198" max="8198" width="10.44140625" customWidth="1"/>
    <col min="8199" max="8199" width="39.88671875" customWidth="1"/>
    <col min="8201" max="8201" width="14.6640625" customWidth="1"/>
    <col min="8203" max="8203" width="15.5546875" customWidth="1"/>
    <col min="8453" max="8453" width="5.33203125" customWidth="1"/>
    <col min="8454" max="8454" width="10.44140625" customWidth="1"/>
    <col min="8455" max="8455" width="39.88671875" customWidth="1"/>
    <col min="8457" max="8457" width="14.6640625" customWidth="1"/>
    <col min="8459" max="8459" width="15.5546875" customWidth="1"/>
    <col min="8709" max="8709" width="5.33203125" customWidth="1"/>
    <col min="8710" max="8710" width="10.44140625" customWidth="1"/>
    <col min="8711" max="8711" width="39.88671875" customWidth="1"/>
    <col min="8713" max="8713" width="14.6640625" customWidth="1"/>
    <col min="8715" max="8715" width="15.5546875" customWidth="1"/>
    <col min="8965" max="8965" width="5.33203125" customWidth="1"/>
    <col min="8966" max="8966" width="10.44140625" customWidth="1"/>
    <col min="8967" max="8967" width="39.88671875" customWidth="1"/>
    <col min="8969" max="8969" width="14.6640625" customWidth="1"/>
    <col min="8971" max="8971" width="15.5546875" customWidth="1"/>
    <col min="9221" max="9221" width="5.33203125" customWidth="1"/>
    <col min="9222" max="9222" width="10.44140625" customWidth="1"/>
    <col min="9223" max="9223" width="39.88671875" customWidth="1"/>
    <col min="9225" max="9225" width="14.6640625" customWidth="1"/>
    <col min="9227" max="9227" width="15.5546875" customWidth="1"/>
    <col min="9477" max="9477" width="5.33203125" customWidth="1"/>
    <col min="9478" max="9478" width="10.44140625" customWidth="1"/>
    <col min="9479" max="9479" width="39.88671875" customWidth="1"/>
    <col min="9481" max="9481" width="14.6640625" customWidth="1"/>
    <col min="9483" max="9483" width="15.5546875" customWidth="1"/>
    <col min="9733" max="9733" width="5.33203125" customWidth="1"/>
    <col min="9734" max="9734" width="10.44140625" customWidth="1"/>
    <col min="9735" max="9735" width="39.88671875" customWidth="1"/>
    <col min="9737" max="9737" width="14.6640625" customWidth="1"/>
    <col min="9739" max="9739" width="15.5546875" customWidth="1"/>
    <col min="9989" max="9989" width="5.33203125" customWidth="1"/>
    <col min="9990" max="9990" width="10.44140625" customWidth="1"/>
    <col min="9991" max="9991" width="39.88671875" customWidth="1"/>
    <col min="9993" max="9993" width="14.6640625" customWidth="1"/>
    <col min="9995" max="9995" width="15.5546875" customWidth="1"/>
    <col min="10245" max="10245" width="5.33203125" customWidth="1"/>
    <col min="10246" max="10246" width="10.44140625" customWidth="1"/>
    <col min="10247" max="10247" width="39.88671875" customWidth="1"/>
    <col min="10249" max="10249" width="14.6640625" customWidth="1"/>
    <col min="10251" max="10251" width="15.5546875" customWidth="1"/>
    <col min="10501" max="10501" width="5.33203125" customWidth="1"/>
    <col min="10502" max="10502" width="10.44140625" customWidth="1"/>
    <col min="10503" max="10503" width="39.88671875" customWidth="1"/>
    <col min="10505" max="10505" width="14.6640625" customWidth="1"/>
    <col min="10507" max="10507" width="15.5546875" customWidth="1"/>
    <col min="10757" max="10757" width="5.33203125" customWidth="1"/>
    <col min="10758" max="10758" width="10.44140625" customWidth="1"/>
    <col min="10759" max="10759" width="39.88671875" customWidth="1"/>
    <col min="10761" max="10761" width="14.6640625" customWidth="1"/>
    <col min="10763" max="10763" width="15.5546875" customWidth="1"/>
    <col min="11013" max="11013" width="5.33203125" customWidth="1"/>
    <col min="11014" max="11014" width="10.44140625" customWidth="1"/>
    <col min="11015" max="11015" width="39.88671875" customWidth="1"/>
    <col min="11017" max="11017" width="14.6640625" customWidth="1"/>
    <col min="11019" max="11019" width="15.5546875" customWidth="1"/>
    <col min="11269" max="11269" width="5.33203125" customWidth="1"/>
    <col min="11270" max="11270" width="10.44140625" customWidth="1"/>
    <col min="11271" max="11271" width="39.88671875" customWidth="1"/>
    <col min="11273" max="11273" width="14.6640625" customWidth="1"/>
    <col min="11275" max="11275" width="15.5546875" customWidth="1"/>
    <col min="11525" max="11525" width="5.33203125" customWidth="1"/>
    <col min="11526" max="11526" width="10.44140625" customWidth="1"/>
    <col min="11527" max="11527" width="39.88671875" customWidth="1"/>
    <col min="11529" max="11529" width="14.6640625" customWidth="1"/>
    <col min="11531" max="11531" width="15.5546875" customWidth="1"/>
    <col min="11781" max="11781" width="5.33203125" customWidth="1"/>
    <col min="11782" max="11782" width="10.44140625" customWidth="1"/>
    <col min="11783" max="11783" width="39.88671875" customWidth="1"/>
    <col min="11785" max="11785" width="14.6640625" customWidth="1"/>
    <col min="11787" max="11787" width="15.5546875" customWidth="1"/>
    <col min="12037" max="12037" width="5.33203125" customWidth="1"/>
    <col min="12038" max="12038" width="10.44140625" customWidth="1"/>
    <col min="12039" max="12039" width="39.88671875" customWidth="1"/>
    <col min="12041" max="12041" width="14.6640625" customWidth="1"/>
    <col min="12043" max="12043" width="15.5546875" customWidth="1"/>
    <col min="12293" max="12293" width="5.33203125" customWidth="1"/>
    <col min="12294" max="12294" width="10.44140625" customWidth="1"/>
    <col min="12295" max="12295" width="39.88671875" customWidth="1"/>
    <col min="12297" max="12297" width="14.6640625" customWidth="1"/>
    <col min="12299" max="12299" width="15.5546875" customWidth="1"/>
    <col min="12549" max="12549" width="5.33203125" customWidth="1"/>
    <col min="12550" max="12550" width="10.44140625" customWidth="1"/>
    <col min="12551" max="12551" width="39.88671875" customWidth="1"/>
    <col min="12553" max="12553" width="14.6640625" customWidth="1"/>
    <col min="12555" max="12555" width="15.5546875" customWidth="1"/>
    <col min="12805" max="12805" width="5.33203125" customWidth="1"/>
    <col min="12806" max="12806" width="10.44140625" customWidth="1"/>
    <col min="12807" max="12807" width="39.88671875" customWidth="1"/>
    <col min="12809" max="12809" width="14.6640625" customWidth="1"/>
    <col min="12811" max="12811" width="15.5546875" customWidth="1"/>
    <col min="13061" max="13061" width="5.33203125" customWidth="1"/>
    <col min="13062" max="13062" width="10.44140625" customWidth="1"/>
    <col min="13063" max="13063" width="39.88671875" customWidth="1"/>
    <col min="13065" max="13065" width="14.6640625" customWidth="1"/>
    <col min="13067" max="13067" width="15.5546875" customWidth="1"/>
    <col min="13317" max="13317" width="5.33203125" customWidth="1"/>
    <col min="13318" max="13318" width="10.44140625" customWidth="1"/>
    <col min="13319" max="13319" width="39.88671875" customWidth="1"/>
    <col min="13321" max="13321" width="14.6640625" customWidth="1"/>
    <col min="13323" max="13323" width="15.5546875" customWidth="1"/>
    <col min="13573" max="13573" width="5.33203125" customWidth="1"/>
    <col min="13574" max="13574" width="10.44140625" customWidth="1"/>
    <col min="13575" max="13575" width="39.88671875" customWidth="1"/>
    <col min="13577" max="13577" width="14.6640625" customWidth="1"/>
    <col min="13579" max="13579" width="15.5546875" customWidth="1"/>
    <col min="13829" max="13829" width="5.33203125" customWidth="1"/>
    <col min="13830" max="13830" width="10.44140625" customWidth="1"/>
    <col min="13831" max="13831" width="39.88671875" customWidth="1"/>
    <col min="13833" max="13833" width="14.6640625" customWidth="1"/>
    <col min="13835" max="13835" width="15.5546875" customWidth="1"/>
    <col min="14085" max="14085" width="5.33203125" customWidth="1"/>
    <col min="14086" max="14086" width="10.44140625" customWidth="1"/>
    <col min="14087" max="14087" width="39.88671875" customWidth="1"/>
    <col min="14089" max="14089" width="14.6640625" customWidth="1"/>
    <col min="14091" max="14091" width="15.5546875" customWidth="1"/>
    <col min="14341" max="14341" width="5.33203125" customWidth="1"/>
    <col min="14342" max="14342" width="10.44140625" customWidth="1"/>
    <col min="14343" max="14343" width="39.88671875" customWidth="1"/>
    <col min="14345" max="14345" width="14.6640625" customWidth="1"/>
    <col min="14347" max="14347" width="15.5546875" customWidth="1"/>
    <col min="14597" max="14597" width="5.33203125" customWidth="1"/>
    <col min="14598" max="14598" width="10.44140625" customWidth="1"/>
    <col min="14599" max="14599" width="39.88671875" customWidth="1"/>
    <col min="14601" max="14601" width="14.6640625" customWidth="1"/>
    <col min="14603" max="14603" width="15.5546875" customWidth="1"/>
    <col min="14853" max="14853" width="5.33203125" customWidth="1"/>
    <col min="14854" max="14854" width="10.44140625" customWidth="1"/>
    <col min="14855" max="14855" width="39.88671875" customWidth="1"/>
    <col min="14857" max="14857" width="14.6640625" customWidth="1"/>
    <col min="14859" max="14859" width="15.5546875" customWidth="1"/>
    <col min="15109" max="15109" width="5.33203125" customWidth="1"/>
    <col min="15110" max="15110" width="10.44140625" customWidth="1"/>
    <col min="15111" max="15111" width="39.88671875" customWidth="1"/>
    <col min="15113" max="15113" width="14.6640625" customWidth="1"/>
    <col min="15115" max="15115" width="15.5546875" customWidth="1"/>
    <col min="15365" max="15365" width="5.33203125" customWidth="1"/>
    <col min="15366" max="15366" width="10.44140625" customWidth="1"/>
    <col min="15367" max="15367" width="39.88671875" customWidth="1"/>
    <col min="15369" max="15369" width="14.6640625" customWidth="1"/>
    <col min="15371" max="15371" width="15.5546875" customWidth="1"/>
    <col min="15621" max="15621" width="5.33203125" customWidth="1"/>
    <col min="15622" max="15622" width="10.44140625" customWidth="1"/>
    <col min="15623" max="15623" width="39.88671875" customWidth="1"/>
    <col min="15625" max="15625" width="14.6640625" customWidth="1"/>
    <col min="15627" max="15627" width="15.5546875" customWidth="1"/>
    <col min="15877" max="15877" width="5.33203125" customWidth="1"/>
    <col min="15878" max="15878" width="10.44140625" customWidth="1"/>
    <col min="15879" max="15879" width="39.88671875" customWidth="1"/>
    <col min="15881" max="15881" width="14.6640625" customWidth="1"/>
    <col min="15883" max="15883" width="15.5546875" customWidth="1"/>
    <col min="16133" max="16133" width="5.33203125" customWidth="1"/>
    <col min="16134" max="16134" width="10.44140625" customWidth="1"/>
    <col min="16135" max="16135" width="39.88671875" customWidth="1"/>
    <col min="16137" max="16137" width="14.6640625" customWidth="1"/>
    <col min="16139" max="16139" width="15.5546875" customWidth="1"/>
  </cols>
  <sheetData>
    <row r="2" spans="2:12" ht="15.6" x14ac:dyDescent="0.3">
      <c r="B2" s="2"/>
      <c r="C2" s="3"/>
      <c r="D2" s="2"/>
      <c r="E2" s="24"/>
      <c r="F2" s="24"/>
      <c r="G2" s="24"/>
      <c r="H2" s="24"/>
      <c r="I2" s="13"/>
      <c r="J2" s="13"/>
      <c r="K2" s="4"/>
    </row>
    <row r="3" spans="2:12" ht="18" x14ac:dyDescent="0.35">
      <c r="B3" s="187"/>
      <c r="C3" s="188"/>
      <c r="D3" s="188"/>
      <c r="E3" s="188"/>
      <c r="F3" s="188"/>
      <c r="G3" s="68"/>
      <c r="H3" s="82"/>
      <c r="I3" s="13"/>
      <c r="J3" s="13"/>
      <c r="K3" s="4"/>
      <c r="L3" s="57"/>
    </row>
    <row r="4" spans="2:12" ht="18" x14ac:dyDescent="0.35">
      <c r="B4" s="67"/>
      <c r="C4" s="68"/>
      <c r="D4" s="68"/>
      <c r="E4" s="68"/>
      <c r="F4" s="68"/>
      <c r="G4" s="68"/>
      <c r="H4" s="82"/>
      <c r="I4" s="13"/>
      <c r="J4" s="13"/>
      <c r="K4" s="4"/>
      <c r="L4" s="57"/>
    </row>
    <row r="5" spans="2:12" ht="18" x14ac:dyDescent="0.35">
      <c r="B5" s="119"/>
      <c r="C5" s="120"/>
      <c r="D5" s="120"/>
      <c r="E5" s="120"/>
      <c r="F5" s="121"/>
      <c r="G5" s="121"/>
      <c r="H5" s="121"/>
      <c r="I5" s="120"/>
      <c r="J5" s="65"/>
      <c r="K5" s="186"/>
      <c r="L5" s="57"/>
    </row>
    <row r="6" spans="2:12" ht="18" x14ac:dyDescent="0.35">
      <c r="B6" s="120"/>
      <c r="C6" s="120"/>
      <c r="D6" s="120"/>
      <c r="E6" s="120"/>
      <c r="F6" s="66"/>
      <c r="G6" s="66"/>
      <c r="H6" s="81"/>
      <c r="I6" s="60"/>
      <c r="J6" s="60"/>
      <c r="K6" s="120"/>
      <c r="L6" s="57"/>
    </row>
    <row r="7" spans="2:12" ht="17.399999999999999" x14ac:dyDescent="0.3">
      <c r="B7" s="112"/>
      <c r="C7" s="128"/>
      <c r="D7" s="128"/>
      <c r="E7" s="128"/>
      <c r="F7" s="84"/>
      <c r="G7" s="84"/>
      <c r="H7" s="84"/>
      <c r="I7" s="84"/>
      <c r="J7" s="84"/>
      <c r="K7" s="84"/>
      <c r="L7" s="57"/>
    </row>
    <row r="8" spans="2:12" ht="18" x14ac:dyDescent="0.35">
      <c r="B8" s="129"/>
      <c r="C8" s="130"/>
      <c r="D8" s="130"/>
      <c r="E8" s="130"/>
      <c r="F8" s="85"/>
      <c r="G8" s="85"/>
      <c r="H8" s="85"/>
      <c r="I8" s="85"/>
      <c r="J8" s="85"/>
      <c r="K8" s="86"/>
      <c r="L8" s="57"/>
    </row>
    <row r="9" spans="2:12" ht="18" x14ac:dyDescent="0.35">
      <c r="B9" s="129"/>
      <c r="C9" s="130"/>
      <c r="D9" s="130"/>
      <c r="E9" s="130"/>
      <c r="F9" s="85"/>
      <c r="G9" s="85"/>
      <c r="H9" s="85"/>
      <c r="I9" s="85"/>
      <c r="J9" s="85"/>
      <c r="K9" s="86"/>
      <c r="L9" s="57"/>
    </row>
    <row r="10" spans="2:12" ht="18" x14ac:dyDescent="0.35">
      <c r="B10" s="129"/>
      <c r="C10" s="130"/>
      <c r="D10" s="130"/>
      <c r="E10" s="130"/>
      <c r="F10" s="85"/>
      <c r="G10" s="85"/>
      <c r="H10" s="85"/>
      <c r="I10" s="85"/>
      <c r="J10" s="85"/>
      <c r="K10" s="86"/>
      <c r="L10" s="57"/>
    </row>
    <row r="11" spans="2:12" ht="18" x14ac:dyDescent="0.35">
      <c r="B11" s="129"/>
      <c r="C11" s="130"/>
      <c r="D11" s="130"/>
      <c r="E11" s="130"/>
      <c r="F11" s="85"/>
      <c r="G11" s="85"/>
      <c r="H11" s="85"/>
      <c r="I11" s="85"/>
      <c r="J11" s="85"/>
      <c r="K11" s="86"/>
      <c r="L11" s="57"/>
    </row>
    <row r="12" spans="2:12" ht="24.75" customHeight="1" x14ac:dyDescent="0.35">
      <c r="B12" s="129"/>
      <c r="C12" s="130"/>
      <c r="D12" s="130"/>
      <c r="E12" s="130"/>
      <c r="F12" s="85"/>
      <c r="G12" s="85"/>
      <c r="H12" s="85"/>
      <c r="I12" s="85"/>
      <c r="J12" s="85"/>
      <c r="K12" s="86"/>
    </row>
    <row r="13" spans="2:12" ht="15" customHeight="1" x14ac:dyDescent="0.3">
      <c r="B13" s="125"/>
      <c r="C13" s="126"/>
      <c r="D13" s="126"/>
      <c r="E13" s="127"/>
      <c r="F13" s="84"/>
      <c r="G13" s="84"/>
      <c r="H13" s="84"/>
      <c r="I13" s="84"/>
      <c r="J13" s="84"/>
      <c r="K13" s="84"/>
    </row>
    <row r="14" spans="2:12" ht="15" customHeight="1" x14ac:dyDescent="0.35">
      <c r="B14" s="122"/>
      <c r="C14" s="123"/>
      <c r="D14" s="123"/>
      <c r="E14" s="124"/>
      <c r="F14" s="85"/>
      <c r="G14" s="85"/>
      <c r="H14" s="85"/>
      <c r="I14" s="85"/>
      <c r="J14" s="85"/>
      <c r="K14" s="86"/>
    </row>
    <row r="15" spans="2:12" ht="15" customHeight="1" x14ac:dyDescent="0.35">
      <c r="B15" s="122"/>
      <c r="C15" s="123"/>
      <c r="D15" s="123"/>
      <c r="E15" s="124"/>
      <c r="F15" s="85"/>
      <c r="G15" s="85"/>
      <c r="H15" s="85"/>
      <c r="I15" s="85"/>
      <c r="J15" s="85"/>
      <c r="K15" s="86"/>
    </row>
    <row r="16" spans="2:12" ht="18" x14ac:dyDescent="0.35">
      <c r="B16" s="122"/>
      <c r="C16" s="123"/>
      <c r="D16" s="123"/>
      <c r="E16" s="124"/>
      <c r="F16" s="85"/>
      <c r="G16" s="85"/>
      <c r="H16" s="85"/>
      <c r="I16" s="85"/>
      <c r="J16" s="85"/>
      <c r="K16" s="86"/>
    </row>
    <row r="17" spans="2:12" ht="18" x14ac:dyDescent="0.35">
      <c r="B17" s="122"/>
      <c r="C17" s="123"/>
      <c r="D17" s="123"/>
      <c r="E17" s="124"/>
      <c r="F17" s="85"/>
      <c r="G17" s="85"/>
      <c r="H17" s="85"/>
      <c r="I17" s="85"/>
      <c r="J17" s="85"/>
      <c r="K17" s="86"/>
    </row>
    <row r="18" spans="2:12" ht="18" x14ac:dyDescent="0.35">
      <c r="B18" s="125"/>
      <c r="C18" s="126"/>
      <c r="D18" s="126"/>
      <c r="E18" s="127"/>
      <c r="F18" s="87"/>
      <c r="G18" s="87"/>
      <c r="H18" s="87"/>
      <c r="I18" s="87"/>
      <c r="J18" s="87"/>
      <c r="K18" s="86"/>
    </row>
    <row r="19" spans="2:12" ht="18" x14ac:dyDescent="0.35">
      <c r="B19" s="112"/>
      <c r="C19" s="128"/>
      <c r="D19" s="128"/>
      <c r="E19" s="128"/>
      <c r="F19" s="87"/>
      <c r="G19" s="87"/>
      <c r="H19" s="87"/>
      <c r="I19" s="87"/>
      <c r="J19" s="87"/>
      <c r="K19" s="86"/>
    </row>
    <row r="20" spans="2:12" ht="18" x14ac:dyDescent="0.35">
      <c r="B20" s="112"/>
      <c r="C20" s="128"/>
      <c r="D20" s="128"/>
      <c r="E20" s="128"/>
      <c r="F20" s="87"/>
      <c r="G20" s="87"/>
      <c r="H20" s="87"/>
      <c r="I20" s="87"/>
      <c r="J20" s="87"/>
      <c r="K20" s="86"/>
    </row>
    <row r="21" spans="2:12" ht="18" x14ac:dyDescent="0.35">
      <c r="B21" s="129"/>
      <c r="C21" s="130"/>
      <c r="D21" s="130"/>
      <c r="E21" s="130"/>
      <c r="F21" s="85"/>
      <c r="G21" s="85"/>
      <c r="H21" s="85"/>
      <c r="I21" s="85"/>
      <c r="J21" s="85"/>
      <c r="K21" s="86"/>
    </row>
    <row r="22" spans="2:12" ht="18" x14ac:dyDescent="0.35">
      <c r="B22" s="180"/>
      <c r="C22" s="185"/>
      <c r="D22" s="185"/>
      <c r="E22" s="185"/>
      <c r="F22" s="85"/>
      <c r="G22" s="85"/>
      <c r="H22" s="85"/>
      <c r="I22" s="85"/>
      <c r="J22" s="85"/>
      <c r="K22" s="86"/>
    </row>
    <row r="23" spans="2:12" ht="18" x14ac:dyDescent="0.35">
      <c r="B23" s="180"/>
      <c r="C23" s="185"/>
      <c r="D23" s="185"/>
      <c r="E23" s="185"/>
      <c r="F23" s="85"/>
      <c r="G23" s="85"/>
      <c r="H23" s="85"/>
      <c r="I23" s="85"/>
      <c r="J23" s="85"/>
      <c r="K23" s="86"/>
    </row>
    <row r="24" spans="2:12" ht="27.75" customHeight="1" x14ac:dyDescent="0.35">
      <c r="B24" s="117"/>
      <c r="C24" s="118"/>
      <c r="D24" s="118"/>
      <c r="E24" s="118"/>
      <c r="F24" s="87"/>
      <c r="G24" s="87"/>
      <c r="H24" s="87"/>
      <c r="I24" s="87"/>
      <c r="J24" s="87"/>
      <c r="K24" s="86"/>
    </row>
    <row r="25" spans="2:12" ht="27.75" customHeight="1" x14ac:dyDescent="0.35">
      <c r="B25" s="114"/>
      <c r="C25" s="115"/>
      <c r="D25" s="115"/>
      <c r="E25" s="116"/>
      <c r="F25" s="87"/>
      <c r="G25" s="87"/>
      <c r="H25" s="87"/>
      <c r="I25" s="87"/>
      <c r="J25" s="87"/>
      <c r="K25" s="86"/>
    </row>
    <row r="26" spans="2:12" ht="27.75" customHeight="1" x14ac:dyDescent="0.35">
      <c r="B26" s="114"/>
      <c r="C26" s="115"/>
      <c r="D26" s="115"/>
      <c r="E26" s="116"/>
      <c r="F26" s="87"/>
      <c r="G26" s="87"/>
      <c r="H26" s="87"/>
      <c r="I26" s="87"/>
      <c r="J26" s="87"/>
      <c r="K26" s="86"/>
    </row>
    <row r="27" spans="2:12" ht="17.399999999999999" x14ac:dyDescent="0.3">
      <c r="B27" s="112"/>
      <c r="C27" s="128"/>
      <c r="D27" s="128"/>
      <c r="E27" s="128"/>
      <c r="F27" s="84"/>
      <c r="G27" s="84"/>
      <c r="H27" s="84"/>
      <c r="I27" s="84"/>
      <c r="J27" s="84"/>
      <c r="K27" s="84"/>
      <c r="L27" s="57"/>
    </row>
    <row r="28" spans="2:12" ht="18" x14ac:dyDescent="0.35">
      <c r="B28" s="129"/>
      <c r="C28" s="130"/>
      <c r="D28" s="130"/>
      <c r="E28" s="130"/>
      <c r="F28" s="85"/>
      <c r="G28" s="85"/>
      <c r="H28" s="85"/>
      <c r="I28" s="85"/>
      <c r="J28" s="85"/>
      <c r="K28" s="86"/>
      <c r="L28" s="57"/>
    </row>
    <row r="29" spans="2:12" ht="18" x14ac:dyDescent="0.35">
      <c r="B29" s="129"/>
      <c r="C29" s="130"/>
      <c r="D29" s="130"/>
      <c r="E29" s="130"/>
      <c r="F29" s="85"/>
      <c r="G29" s="85"/>
      <c r="H29" s="85"/>
      <c r="I29" s="85"/>
      <c r="J29" s="85"/>
      <c r="K29" s="86"/>
      <c r="L29" s="57"/>
    </row>
    <row r="30" spans="2:12" ht="18" x14ac:dyDescent="0.35">
      <c r="B30" s="129"/>
      <c r="C30" s="130"/>
      <c r="D30" s="130"/>
      <c r="E30" s="130"/>
      <c r="F30" s="85"/>
      <c r="G30" s="85"/>
      <c r="H30" s="85"/>
      <c r="I30" s="85"/>
      <c r="J30" s="85"/>
      <c r="K30" s="86"/>
      <c r="L30" s="57"/>
    </row>
    <row r="31" spans="2:12" ht="18" x14ac:dyDescent="0.35">
      <c r="B31" s="129"/>
      <c r="C31" s="130"/>
      <c r="D31" s="130"/>
      <c r="E31" s="130"/>
      <c r="F31" s="85"/>
      <c r="G31" s="85"/>
      <c r="H31" s="85"/>
      <c r="I31" s="85"/>
      <c r="J31" s="85"/>
      <c r="K31" s="86"/>
      <c r="L31" s="57"/>
    </row>
    <row r="32" spans="2:12" ht="24" customHeight="1" x14ac:dyDescent="0.35">
      <c r="B32" s="129"/>
      <c r="C32" s="130"/>
      <c r="D32" s="130"/>
      <c r="E32" s="130"/>
      <c r="F32" s="85"/>
      <c r="G32" s="85"/>
      <c r="H32" s="85"/>
      <c r="I32" s="85"/>
      <c r="J32" s="85"/>
      <c r="K32" s="86"/>
    </row>
    <row r="33" spans="2:11" ht="21" customHeight="1" x14ac:dyDescent="0.35">
      <c r="B33" s="163"/>
      <c r="C33" s="176"/>
      <c r="D33" s="176"/>
      <c r="E33" s="177"/>
      <c r="F33" s="87"/>
      <c r="G33" s="87"/>
      <c r="H33" s="87"/>
      <c r="I33" s="87"/>
      <c r="J33" s="87"/>
      <c r="K33" s="87"/>
    </row>
    <row r="34" spans="2:11" ht="20.25" customHeight="1" x14ac:dyDescent="0.35">
      <c r="B34" s="122"/>
      <c r="C34" s="123"/>
      <c r="D34" s="123"/>
      <c r="E34" s="124"/>
      <c r="F34" s="85"/>
      <c r="G34" s="85"/>
      <c r="H34" s="85"/>
      <c r="I34" s="85"/>
      <c r="J34" s="85"/>
      <c r="K34" s="86"/>
    </row>
    <row r="35" spans="2:11" ht="18.75" customHeight="1" x14ac:dyDescent="0.35">
      <c r="B35" s="122"/>
      <c r="C35" s="123"/>
      <c r="D35" s="123"/>
      <c r="E35" s="124"/>
      <c r="F35" s="85"/>
      <c r="G35" s="85"/>
      <c r="H35" s="85"/>
      <c r="I35" s="85"/>
      <c r="J35" s="85"/>
      <c r="K35" s="86"/>
    </row>
    <row r="36" spans="2:11" ht="18" x14ac:dyDescent="0.35">
      <c r="B36" s="122"/>
      <c r="C36" s="123"/>
      <c r="D36" s="123"/>
      <c r="E36" s="124"/>
      <c r="F36" s="85"/>
      <c r="G36" s="85"/>
      <c r="H36" s="85"/>
      <c r="I36" s="85"/>
      <c r="J36" s="85"/>
      <c r="K36" s="86"/>
    </row>
    <row r="37" spans="2:11" ht="18" x14ac:dyDescent="0.35">
      <c r="B37" s="122"/>
      <c r="C37" s="123"/>
      <c r="D37" s="123"/>
      <c r="E37" s="124"/>
      <c r="F37" s="85"/>
      <c r="G37" s="85"/>
      <c r="H37" s="85"/>
      <c r="I37" s="85"/>
      <c r="J37" s="85"/>
      <c r="K37" s="86"/>
    </row>
    <row r="38" spans="2:11" ht="18" x14ac:dyDescent="0.35">
      <c r="B38" s="122"/>
      <c r="C38" s="123"/>
      <c r="D38" s="123"/>
      <c r="E38" s="124"/>
      <c r="F38" s="87"/>
      <c r="G38" s="87"/>
      <c r="H38" s="87"/>
      <c r="I38" s="87"/>
      <c r="J38" s="86"/>
      <c r="K38" s="86"/>
    </row>
    <row r="39" spans="2:11" ht="18" x14ac:dyDescent="0.35">
      <c r="B39" s="112"/>
      <c r="C39" s="128"/>
      <c r="D39" s="128"/>
      <c r="E39" s="128"/>
      <c r="F39" s="87"/>
      <c r="G39" s="87"/>
      <c r="H39" s="87"/>
      <c r="I39" s="87"/>
      <c r="J39" s="87"/>
      <c r="K39" s="86"/>
    </row>
    <row r="40" spans="2:11" ht="15.6" x14ac:dyDescent="0.3">
      <c r="B40" s="112"/>
      <c r="C40" s="128"/>
      <c r="D40" s="128"/>
      <c r="E40" s="128"/>
      <c r="F40" s="74"/>
      <c r="G40" s="74"/>
      <c r="H40" s="74"/>
      <c r="I40" s="74"/>
      <c r="J40" s="74"/>
      <c r="K40" s="36"/>
    </row>
    <row r="41" spans="2:11" ht="15.6" x14ac:dyDescent="0.3">
      <c r="B41" s="129"/>
      <c r="C41" s="130"/>
      <c r="D41" s="130"/>
      <c r="E41" s="130"/>
      <c r="F41" s="38"/>
      <c r="G41" s="38"/>
      <c r="H41" s="38"/>
      <c r="I41" s="37"/>
      <c r="J41" s="37"/>
      <c r="K41" s="36"/>
    </row>
    <row r="42" spans="2:11" ht="15.6" x14ac:dyDescent="0.3">
      <c r="B42" s="180"/>
      <c r="C42" s="185"/>
      <c r="D42" s="185"/>
      <c r="E42" s="185"/>
      <c r="F42" s="38"/>
      <c r="G42" s="38"/>
      <c r="H42" s="38"/>
      <c r="I42" s="37"/>
      <c r="J42" s="37"/>
      <c r="K42" s="36"/>
    </row>
    <row r="43" spans="2:11" ht="15.6" x14ac:dyDescent="0.3">
      <c r="B43" s="180"/>
      <c r="C43" s="185"/>
      <c r="D43" s="185"/>
      <c r="E43" s="185"/>
      <c r="F43" s="23"/>
      <c r="G43" s="23"/>
      <c r="H43" s="23"/>
      <c r="I43" s="23"/>
      <c r="J43" s="23"/>
      <c r="K43" s="36"/>
    </row>
    <row r="44" spans="2:11" ht="27.75" customHeight="1" x14ac:dyDescent="0.3">
      <c r="B44" s="117"/>
      <c r="C44" s="118"/>
      <c r="D44" s="118"/>
      <c r="E44" s="118"/>
      <c r="F44" s="74"/>
      <c r="G44" s="74"/>
      <c r="H44" s="74"/>
      <c r="I44" s="74"/>
      <c r="J44" s="74"/>
      <c r="K44" s="36"/>
    </row>
    <row r="45" spans="2:11" ht="27.75" customHeight="1" x14ac:dyDescent="0.3">
      <c r="B45" s="114"/>
      <c r="C45" s="115"/>
      <c r="D45" s="115"/>
      <c r="E45" s="116"/>
      <c r="F45" s="74"/>
      <c r="G45" s="74"/>
      <c r="H45" s="74"/>
      <c r="I45" s="74"/>
      <c r="J45" s="74"/>
      <c r="K45" s="36"/>
    </row>
    <row r="46" spans="2:11" ht="15.6" x14ac:dyDescent="0.3">
      <c r="B46" s="112"/>
      <c r="C46" s="128"/>
      <c r="D46" s="128"/>
      <c r="E46" s="128"/>
      <c r="F46" s="74"/>
      <c r="G46" s="74"/>
      <c r="H46" s="74"/>
      <c r="I46" s="74"/>
      <c r="J46" s="74"/>
      <c r="K46" s="36"/>
    </row>
    <row r="47" spans="2:11" ht="15.6" x14ac:dyDescent="0.3">
      <c r="B47" s="129"/>
      <c r="C47" s="130"/>
      <c r="D47" s="130"/>
      <c r="E47" s="130"/>
      <c r="F47" s="38"/>
      <c r="G47" s="38"/>
      <c r="H47" s="38"/>
      <c r="I47" s="37"/>
      <c r="J47" s="37"/>
      <c r="K47" s="36"/>
    </row>
    <row r="48" spans="2:11" ht="15.6" x14ac:dyDescent="0.3">
      <c r="B48" s="180"/>
      <c r="C48" s="185"/>
      <c r="D48" s="185"/>
      <c r="E48" s="185"/>
      <c r="F48" s="38"/>
      <c r="G48" s="38"/>
      <c r="H48" s="38"/>
      <c r="I48" s="37"/>
      <c r="J48" s="37"/>
      <c r="K48" s="36"/>
    </row>
    <row r="49" spans="2:12" ht="15.6" x14ac:dyDescent="0.3">
      <c r="B49" s="180"/>
      <c r="C49" s="185"/>
      <c r="D49" s="185"/>
      <c r="E49" s="185"/>
      <c r="F49" s="23"/>
      <c r="G49" s="23"/>
      <c r="H49" s="23"/>
      <c r="I49" s="23"/>
      <c r="J49" s="23"/>
      <c r="K49" s="36"/>
    </row>
    <row r="50" spans="2:12" ht="27.75" customHeight="1" x14ac:dyDescent="0.3">
      <c r="B50" s="117"/>
      <c r="C50" s="118"/>
      <c r="D50" s="118"/>
      <c r="E50" s="118"/>
      <c r="F50" s="74"/>
      <c r="G50" s="74"/>
      <c r="H50" s="74"/>
      <c r="I50" s="74"/>
      <c r="J50" s="74"/>
      <c r="K50" s="36"/>
    </row>
    <row r="51" spans="2:12" ht="27.75" customHeight="1" x14ac:dyDescent="0.3">
      <c r="B51" s="114"/>
      <c r="C51" s="115"/>
      <c r="D51" s="115"/>
      <c r="E51" s="116"/>
      <c r="F51" s="74"/>
      <c r="G51" s="74"/>
      <c r="H51" s="74"/>
      <c r="I51" s="74"/>
      <c r="J51" s="74"/>
      <c r="K51" s="36"/>
    </row>
    <row r="52" spans="2:12" ht="17.399999999999999" x14ac:dyDescent="0.3">
      <c r="B52" s="111"/>
      <c r="C52" s="111"/>
      <c r="D52" s="111"/>
      <c r="E52" s="111"/>
      <c r="F52" s="52"/>
      <c r="G52" s="52"/>
      <c r="H52" s="52"/>
      <c r="I52" s="52"/>
      <c r="J52" s="52"/>
      <c r="K52" s="61"/>
    </row>
    <row r="53" spans="2:12" x14ac:dyDescent="0.3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2:12" x14ac:dyDescent="0.3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2:12" ht="15.6" x14ac:dyDescent="0.3">
      <c r="B55" s="43"/>
      <c r="C55" s="43"/>
      <c r="D55" s="43"/>
      <c r="E55" s="43"/>
      <c r="F55" s="43"/>
      <c r="G55" s="43"/>
      <c r="H55" s="43"/>
      <c r="I55" s="43"/>
      <c r="J55" s="43"/>
      <c r="K55" s="27"/>
      <c r="L55" s="44"/>
    </row>
    <row r="56" spans="2:12" ht="15.6" x14ac:dyDescent="0.3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2:12" ht="15.6" x14ac:dyDescent="0.3">
      <c r="B57" s="27"/>
      <c r="C57" s="27"/>
      <c r="D57" s="44"/>
      <c r="E57" s="27"/>
      <c r="F57" s="27"/>
      <c r="G57" s="27"/>
      <c r="H57" s="27"/>
      <c r="I57" s="27"/>
      <c r="J57" s="27"/>
      <c r="K57" s="27"/>
      <c r="L57" s="27"/>
    </row>
    <row r="58" spans="2:12" ht="15.6" x14ac:dyDescent="0.3">
      <c r="B58" s="27"/>
      <c r="C58" s="27"/>
      <c r="D58" s="44"/>
      <c r="E58" s="27"/>
      <c r="F58" s="27"/>
      <c r="G58" s="27"/>
      <c r="H58" s="27"/>
      <c r="I58" s="27"/>
      <c r="J58" s="27"/>
      <c r="K58" s="27"/>
      <c r="L58" s="27"/>
    </row>
    <row r="59" spans="2:12" ht="24" customHeight="1" x14ac:dyDescent="0.3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2:12" x14ac:dyDescent="0.3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2:12" x14ac:dyDescent="0.3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2:12" ht="17.399999999999999" x14ac:dyDescent="0.3">
      <c r="B62" s="71"/>
      <c r="C62" s="42"/>
      <c r="D62" s="42"/>
      <c r="E62" s="42"/>
      <c r="F62" s="42"/>
      <c r="G62" s="42"/>
      <c r="H62" s="42"/>
      <c r="I62" s="42"/>
      <c r="J62" s="42"/>
      <c r="K62" s="42"/>
      <c r="L62" s="45"/>
    </row>
    <row r="63" spans="2:12" x14ac:dyDescent="0.3"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2:12" ht="15.6" x14ac:dyDescent="0.3">
      <c r="B64" s="112"/>
      <c r="C64" s="113"/>
      <c r="D64" s="113"/>
      <c r="E64" s="113"/>
      <c r="F64" s="184"/>
      <c r="G64" s="184"/>
      <c r="H64" s="184"/>
      <c r="I64" s="162"/>
      <c r="J64" s="70"/>
      <c r="K64" s="162"/>
    </row>
    <row r="65" spans="2:11" ht="15.6" x14ac:dyDescent="0.3">
      <c r="B65" s="113"/>
      <c r="C65" s="113"/>
      <c r="D65" s="113"/>
      <c r="E65" s="113"/>
      <c r="F65" s="69"/>
      <c r="G65" s="69"/>
      <c r="H65" s="80"/>
      <c r="I65" s="34"/>
      <c r="J65" s="34"/>
      <c r="K65" s="162"/>
    </row>
    <row r="66" spans="2:11" s="75" customFormat="1" ht="18" x14ac:dyDescent="0.35">
      <c r="B66" s="129"/>
      <c r="C66" s="178"/>
      <c r="D66" s="178"/>
      <c r="E66" s="178"/>
      <c r="F66" s="87"/>
      <c r="G66" s="87"/>
      <c r="H66" s="87"/>
      <c r="I66" s="87"/>
      <c r="J66" s="87"/>
      <c r="K66" s="87"/>
    </row>
    <row r="67" spans="2:11" s="75" customFormat="1" ht="18" x14ac:dyDescent="0.35">
      <c r="B67" s="129"/>
      <c r="C67" s="178"/>
      <c r="D67" s="178"/>
      <c r="E67" s="178"/>
      <c r="F67" s="85"/>
      <c r="G67" s="85"/>
      <c r="H67" s="85"/>
      <c r="I67" s="85"/>
      <c r="J67" s="85"/>
      <c r="K67" s="86"/>
    </row>
    <row r="68" spans="2:11" s="75" customFormat="1" ht="30.75" customHeight="1" x14ac:dyDescent="0.35">
      <c r="B68" s="129"/>
      <c r="C68" s="178"/>
      <c r="D68" s="178"/>
      <c r="E68" s="178"/>
      <c r="F68" s="85"/>
      <c r="G68" s="85"/>
      <c r="H68" s="85"/>
      <c r="I68" s="85"/>
      <c r="J68" s="85"/>
      <c r="K68" s="86"/>
    </row>
    <row r="69" spans="2:11" s="75" customFormat="1" ht="18" x14ac:dyDescent="0.35">
      <c r="B69" s="129"/>
      <c r="C69" s="178"/>
      <c r="D69" s="178"/>
      <c r="E69" s="178"/>
      <c r="F69" s="85"/>
      <c r="G69" s="85"/>
      <c r="H69" s="85"/>
      <c r="I69" s="85"/>
      <c r="J69" s="85"/>
      <c r="K69" s="86"/>
    </row>
    <row r="70" spans="2:11" s="75" customFormat="1" ht="18" x14ac:dyDescent="0.35">
      <c r="B70" s="129"/>
      <c r="C70" s="178"/>
      <c r="D70" s="178"/>
      <c r="E70" s="178"/>
      <c r="F70" s="88"/>
      <c r="G70" s="88"/>
      <c r="H70" s="88"/>
      <c r="I70" s="85"/>
      <c r="J70" s="85"/>
      <c r="K70" s="86"/>
    </row>
    <row r="71" spans="2:11" s="75" customFormat="1" ht="18" x14ac:dyDescent="0.35">
      <c r="B71" s="180"/>
      <c r="C71" s="181"/>
      <c r="D71" s="181"/>
      <c r="E71" s="181"/>
      <c r="F71" s="87"/>
      <c r="G71" s="87"/>
      <c r="H71" s="87"/>
      <c r="I71" s="87"/>
      <c r="J71" s="87"/>
      <c r="K71" s="86"/>
    </row>
    <row r="72" spans="2:11" s="75" customFormat="1" ht="18" x14ac:dyDescent="0.35">
      <c r="B72" s="129"/>
      <c r="C72" s="178"/>
      <c r="D72" s="178"/>
      <c r="E72" s="178"/>
      <c r="F72" s="85"/>
      <c r="G72" s="85"/>
      <c r="H72" s="85"/>
      <c r="I72" s="85"/>
      <c r="J72" s="85"/>
      <c r="K72" s="86"/>
    </row>
    <row r="73" spans="2:11" s="75" customFormat="1" ht="30.75" customHeight="1" x14ac:dyDescent="0.35">
      <c r="B73" s="180"/>
      <c r="C73" s="181"/>
      <c r="D73" s="181"/>
      <c r="E73" s="181"/>
      <c r="F73" s="85"/>
      <c r="G73" s="85"/>
      <c r="H73" s="85"/>
      <c r="I73" s="85"/>
      <c r="J73" s="85"/>
      <c r="K73" s="86"/>
    </row>
    <row r="74" spans="2:11" s="75" customFormat="1" ht="18" x14ac:dyDescent="0.35">
      <c r="B74" s="129"/>
      <c r="C74" s="178"/>
      <c r="D74" s="178"/>
      <c r="E74" s="178"/>
      <c r="F74" s="85"/>
      <c r="G74" s="85"/>
      <c r="H74" s="85"/>
      <c r="I74" s="85"/>
      <c r="J74" s="85"/>
      <c r="K74" s="86"/>
    </row>
    <row r="75" spans="2:11" s="75" customFormat="1" ht="18" x14ac:dyDescent="0.35">
      <c r="B75" s="129"/>
      <c r="C75" s="178"/>
      <c r="D75" s="178"/>
      <c r="E75" s="178"/>
      <c r="F75" s="85"/>
      <c r="G75" s="85"/>
      <c r="H75" s="85"/>
      <c r="I75" s="85"/>
      <c r="J75" s="85"/>
      <c r="K75" s="86"/>
    </row>
    <row r="76" spans="2:11" s="75" customFormat="1" ht="18" x14ac:dyDescent="0.35">
      <c r="B76" s="129"/>
      <c r="C76" s="178"/>
      <c r="D76" s="178"/>
      <c r="E76" s="178"/>
      <c r="F76" s="85"/>
      <c r="G76" s="85"/>
      <c r="H76" s="85"/>
      <c r="I76" s="85"/>
      <c r="J76" s="85"/>
      <c r="K76" s="86"/>
    </row>
    <row r="77" spans="2:11" s="75" customFormat="1" ht="32.25" customHeight="1" x14ac:dyDescent="0.35">
      <c r="B77" s="180"/>
      <c r="C77" s="181"/>
      <c r="D77" s="181"/>
      <c r="E77" s="181"/>
      <c r="F77" s="87"/>
      <c r="G77" s="87"/>
      <c r="H77" s="87"/>
      <c r="I77" s="87"/>
      <c r="J77" s="87"/>
      <c r="K77" s="86"/>
    </row>
    <row r="78" spans="2:11" s="75" customFormat="1" ht="32.25" customHeight="1" x14ac:dyDescent="0.35">
      <c r="B78" s="175"/>
      <c r="C78" s="182"/>
      <c r="D78" s="182"/>
      <c r="E78" s="183"/>
      <c r="F78" s="87"/>
      <c r="G78" s="87"/>
      <c r="H78" s="87"/>
      <c r="I78" s="87"/>
      <c r="J78" s="87"/>
      <c r="K78" s="86"/>
    </row>
    <row r="79" spans="2:11" s="75" customFormat="1" ht="32.25" customHeight="1" x14ac:dyDescent="0.35">
      <c r="B79" s="175"/>
      <c r="C79" s="115"/>
      <c r="D79" s="115"/>
      <c r="E79" s="116"/>
      <c r="F79" s="87"/>
      <c r="G79" s="87"/>
      <c r="H79" s="87"/>
      <c r="I79" s="87"/>
      <c r="J79" s="87"/>
      <c r="K79" s="86"/>
    </row>
    <row r="80" spans="2:11" s="75" customFormat="1" ht="32.25" customHeight="1" x14ac:dyDescent="0.35">
      <c r="B80" s="175"/>
      <c r="C80" s="115"/>
      <c r="D80" s="115"/>
      <c r="E80" s="116"/>
      <c r="F80" s="87"/>
      <c r="G80" s="87"/>
      <c r="H80" s="87"/>
      <c r="I80" s="87"/>
      <c r="J80" s="87"/>
      <c r="K80" s="86"/>
    </row>
    <row r="81" spans="2:12" s="75" customFormat="1" ht="32.25" customHeight="1" x14ac:dyDescent="0.35">
      <c r="B81" s="175"/>
      <c r="C81" s="115"/>
      <c r="D81" s="115"/>
      <c r="E81" s="116"/>
      <c r="F81" s="87"/>
      <c r="G81" s="87"/>
      <c r="H81" s="87"/>
      <c r="I81" s="87"/>
      <c r="J81" s="87"/>
      <c r="K81" s="86"/>
    </row>
    <row r="82" spans="2:12" s="75" customFormat="1" ht="32.25" customHeight="1" x14ac:dyDescent="0.35">
      <c r="B82" s="175"/>
      <c r="C82" s="115"/>
      <c r="D82" s="115"/>
      <c r="E82" s="116"/>
      <c r="F82" s="87"/>
      <c r="G82" s="87"/>
      <c r="H82" s="87"/>
      <c r="I82" s="87"/>
      <c r="J82" s="87"/>
      <c r="K82" s="86"/>
    </row>
    <row r="83" spans="2:12" s="75" customFormat="1" ht="32.25" customHeight="1" x14ac:dyDescent="0.35">
      <c r="B83" s="175"/>
      <c r="C83" s="115"/>
      <c r="D83" s="115"/>
      <c r="E83" s="116"/>
      <c r="F83" s="87"/>
      <c r="G83" s="87"/>
      <c r="H83" s="87"/>
      <c r="I83" s="87"/>
      <c r="J83" s="87"/>
      <c r="K83" s="86"/>
    </row>
    <row r="84" spans="2:12" s="75" customFormat="1" ht="32.25" customHeight="1" x14ac:dyDescent="0.35">
      <c r="B84" s="77"/>
      <c r="C84" s="78"/>
      <c r="D84" s="78"/>
      <c r="E84" s="79"/>
      <c r="F84" s="87"/>
      <c r="G84" s="87"/>
      <c r="H84" s="87"/>
      <c r="I84" s="87"/>
      <c r="J84" s="87"/>
      <c r="K84" s="86"/>
    </row>
    <row r="85" spans="2:12" s="75" customFormat="1" ht="32.25" customHeight="1" x14ac:dyDescent="0.3">
      <c r="B85" s="77"/>
      <c r="C85" s="78"/>
      <c r="D85" s="78"/>
      <c r="E85" s="79"/>
      <c r="F85" s="74"/>
      <c r="G85" s="74"/>
      <c r="H85" s="74"/>
      <c r="I85" s="74"/>
      <c r="J85" s="74"/>
      <c r="K85" s="36"/>
    </row>
    <row r="86" spans="2:12" s="75" customFormat="1" ht="32.25" customHeight="1" x14ac:dyDescent="0.3">
      <c r="B86" s="77"/>
      <c r="C86" s="78"/>
      <c r="D86" s="78"/>
      <c r="E86" s="79"/>
      <c r="F86" s="74"/>
      <c r="G86" s="74"/>
      <c r="H86" s="74"/>
      <c r="I86" s="74"/>
      <c r="J86" s="74"/>
      <c r="K86" s="36"/>
    </row>
    <row r="87" spans="2:12" s="75" customFormat="1" ht="32.25" customHeight="1" x14ac:dyDescent="0.3">
      <c r="B87" s="77"/>
      <c r="C87" s="78"/>
      <c r="D87" s="78"/>
      <c r="E87" s="79"/>
      <c r="F87" s="74"/>
      <c r="G87" s="74"/>
      <c r="H87" s="74"/>
      <c r="I87" s="74"/>
      <c r="J87" s="74"/>
      <c r="K87" s="36"/>
    </row>
    <row r="88" spans="2:12" s="75" customFormat="1" ht="32.25" customHeight="1" x14ac:dyDescent="0.3">
      <c r="B88" s="77"/>
      <c r="C88" s="78"/>
      <c r="D88" s="78"/>
      <c r="E88" s="79"/>
      <c r="F88" s="74"/>
      <c r="G88" s="74"/>
      <c r="H88" s="74"/>
      <c r="I88" s="74"/>
      <c r="J88" s="74"/>
      <c r="K88" s="36"/>
    </row>
    <row r="89" spans="2:12" s="75" customFormat="1" ht="32.25" customHeight="1" x14ac:dyDescent="0.3">
      <c r="B89" s="77"/>
      <c r="C89" s="78"/>
      <c r="D89" s="78"/>
      <c r="E89" s="79"/>
      <c r="F89" s="74"/>
      <c r="G89" s="74"/>
      <c r="H89" s="74"/>
      <c r="I89" s="74"/>
      <c r="J89" s="74"/>
      <c r="K89" s="36"/>
    </row>
    <row r="90" spans="2:12" s="75" customFormat="1" ht="32.25" customHeight="1" x14ac:dyDescent="0.3">
      <c r="B90" s="77"/>
      <c r="C90" s="78"/>
      <c r="D90" s="78"/>
      <c r="E90" s="79"/>
      <c r="F90" s="74"/>
      <c r="G90" s="74"/>
      <c r="H90" s="74"/>
      <c r="I90" s="74"/>
      <c r="J90" s="74"/>
      <c r="K90" s="36"/>
    </row>
    <row r="91" spans="2:12" ht="17.399999999999999" x14ac:dyDescent="0.3">
      <c r="B91" s="179"/>
      <c r="C91" s="179"/>
      <c r="D91" s="179"/>
      <c r="E91" s="179"/>
      <c r="F91" s="83"/>
      <c r="G91" s="83"/>
      <c r="H91" s="83"/>
      <c r="I91" s="83"/>
      <c r="J91" s="83"/>
      <c r="K91" s="83"/>
    </row>
    <row r="92" spans="2:12" x14ac:dyDescent="0.3"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2:12" x14ac:dyDescent="0.3"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5"/>
    </row>
    <row r="94" spans="2:12" x14ac:dyDescent="0.3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5"/>
    </row>
  </sheetData>
  <mergeCells count="72">
    <mergeCell ref="B49:E49"/>
    <mergeCell ref="B50:E50"/>
    <mergeCell ref="B51:E51"/>
    <mergeCell ref="B14:E14"/>
    <mergeCell ref="B3:F3"/>
    <mergeCell ref="B5:E6"/>
    <mergeCell ref="F5:I5"/>
    <mergeCell ref="B11:E11"/>
    <mergeCell ref="B12:E12"/>
    <mergeCell ref="B13:E13"/>
    <mergeCell ref="B38:E38"/>
    <mergeCell ref="B15:E15"/>
    <mergeCell ref="B16:E16"/>
    <mergeCell ref="B17:E17"/>
    <mergeCell ref="B18:E18"/>
    <mergeCell ref="B19:E19"/>
    <mergeCell ref="K5:K6"/>
    <mergeCell ref="B7:E7"/>
    <mergeCell ref="B8:E8"/>
    <mergeCell ref="B9:E9"/>
    <mergeCell ref="B10:E10"/>
    <mergeCell ref="B20:E20"/>
    <mergeCell ref="B21:E21"/>
    <mergeCell ref="B22:E22"/>
    <mergeCell ref="B23:E23"/>
    <mergeCell ref="B24:E24"/>
    <mergeCell ref="B25:E25"/>
    <mergeCell ref="F64:I64"/>
    <mergeCell ref="K64:K65"/>
    <mergeCell ref="B66:E66"/>
    <mergeCell ref="B67:E67"/>
    <mergeCell ref="B39:E39"/>
    <mergeCell ref="B40:E40"/>
    <mergeCell ref="B41:E41"/>
    <mergeCell ref="B42:E42"/>
    <mergeCell ref="B43:E43"/>
    <mergeCell ref="B44:E44"/>
    <mergeCell ref="B64:E65"/>
    <mergeCell ref="B52:E52"/>
    <mergeCell ref="B46:E46"/>
    <mergeCell ref="B47:E47"/>
    <mergeCell ref="B48:E48"/>
    <mergeCell ref="B68:E68"/>
    <mergeCell ref="B91:E91"/>
    <mergeCell ref="B83:E83"/>
    <mergeCell ref="B69:E69"/>
    <mergeCell ref="B70:E70"/>
    <mergeCell ref="B71:E71"/>
    <mergeCell ref="B72:E72"/>
    <mergeCell ref="B73:E73"/>
    <mergeCell ref="B74:E74"/>
    <mergeCell ref="B82:E82"/>
    <mergeCell ref="B75:E75"/>
    <mergeCell ref="B76:E76"/>
    <mergeCell ref="B77:E77"/>
    <mergeCell ref="B78:E78"/>
    <mergeCell ref="B45:E45"/>
    <mergeCell ref="B79:E79"/>
    <mergeCell ref="B26:E26"/>
    <mergeCell ref="B80:E80"/>
    <mergeCell ref="B81:E81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</mergeCells>
  <pageMargins left="0.7" right="0.7" top="0.75" bottom="0.75" header="0.3" footer="0.3"/>
  <pageSetup paperSize="9" scale="55" orientation="portrait" r:id="rId1"/>
  <rowBreaks count="1" manualBreakCount="1">
    <brk id="6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view="pageBreakPreview" zoomScaleNormal="100" zoomScaleSheetLayoutView="100" workbookViewId="0">
      <selection activeCell="H7" sqref="H7"/>
    </sheetView>
  </sheetViews>
  <sheetFormatPr defaultRowHeight="14.4" x14ac:dyDescent="0.3"/>
  <cols>
    <col min="5" max="5" width="14.6640625" customWidth="1"/>
    <col min="6" max="6" width="14.44140625" customWidth="1"/>
    <col min="7" max="7" width="13.33203125" customWidth="1"/>
    <col min="8" max="8" width="13.44140625" customWidth="1"/>
    <col min="9" max="9" width="6.33203125" customWidth="1"/>
  </cols>
  <sheetData>
    <row r="1" spans="1:13" ht="20.399999999999999" x14ac:dyDescent="0.35">
      <c r="B1" s="189" t="s">
        <v>88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spans="1:13" ht="16.8" x14ac:dyDescent="0.3">
      <c r="A2" s="191" t="s">
        <v>82</v>
      </c>
      <c r="B2" s="191"/>
      <c r="C2" s="191"/>
      <c r="D2" s="191"/>
      <c r="E2" s="191"/>
      <c r="F2" s="191"/>
      <c r="G2" s="191"/>
      <c r="H2" s="192"/>
      <c r="I2" s="192"/>
      <c r="J2" s="192"/>
      <c r="K2" s="192"/>
      <c r="L2" s="192"/>
    </row>
    <row r="4" spans="1:13" ht="17.399999999999999" x14ac:dyDescent="0.3">
      <c r="A4" s="145" t="s">
        <v>66</v>
      </c>
      <c r="B4" s="146"/>
      <c r="C4" s="146"/>
      <c r="D4" s="146"/>
      <c r="E4" s="146"/>
      <c r="F4" s="13"/>
      <c r="G4" s="4"/>
      <c r="H4" s="57">
        <f>G27</f>
        <v>128500</v>
      </c>
    </row>
    <row r="5" spans="1:13" ht="18" x14ac:dyDescent="0.35">
      <c r="A5" s="94"/>
      <c r="B5" s="95"/>
      <c r="C5" s="95"/>
      <c r="D5" s="95"/>
      <c r="E5" s="95"/>
      <c r="F5" s="13"/>
      <c r="G5" s="4"/>
      <c r="H5" s="57"/>
    </row>
    <row r="6" spans="1:13" ht="18" x14ac:dyDescent="0.35">
      <c r="A6" s="119" t="s">
        <v>19</v>
      </c>
      <c r="B6" s="120"/>
      <c r="C6" s="120"/>
      <c r="D6" s="120"/>
      <c r="E6" s="121" t="s">
        <v>26</v>
      </c>
      <c r="F6" s="120"/>
      <c r="G6" s="135" t="s">
        <v>20</v>
      </c>
      <c r="H6" s="57"/>
    </row>
    <row r="7" spans="1:13" ht="114.6" x14ac:dyDescent="0.3">
      <c r="A7" s="120"/>
      <c r="B7" s="120"/>
      <c r="C7" s="120"/>
      <c r="D7" s="120"/>
      <c r="E7" s="93" t="s">
        <v>92</v>
      </c>
      <c r="F7" s="92" t="s">
        <v>91</v>
      </c>
      <c r="G7" s="136"/>
      <c r="H7" s="57"/>
    </row>
    <row r="8" spans="1:13" ht="15.6" x14ac:dyDescent="0.3">
      <c r="A8" s="112" t="s">
        <v>21</v>
      </c>
      <c r="B8" s="128"/>
      <c r="C8" s="128"/>
      <c r="D8" s="128"/>
      <c r="E8" s="91">
        <f>E9+E10+E11+E12</f>
        <v>12540</v>
      </c>
      <c r="F8" s="91">
        <f>F9+F10+F11+F12</f>
        <v>9460</v>
      </c>
      <c r="G8" s="35">
        <f>G9+G10+G11+G12</f>
        <v>22000</v>
      </c>
      <c r="H8" s="57"/>
    </row>
    <row r="9" spans="1:13" ht="15.6" x14ac:dyDescent="0.3">
      <c r="A9" s="129" t="s">
        <v>27</v>
      </c>
      <c r="B9" s="130"/>
      <c r="C9" s="130"/>
      <c r="D9" s="130"/>
      <c r="E9" s="23">
        <v>342</v>
      </c>
      <c r="F9" s="23">
        <v>258</v>
      </c>
      <c r="G9" s="36">
        <f>E9+F9</f>
        <v>600</v>
      </c>
      <c r="H9" s="57"/>
    </row>
    <row r="10" spans="1:13" ht="15.6" x14ac:dyDescent="0.3">
      <c r="A10" s="129" t="s">
        <v>22</v>
      </c>
      <c r="B10" s="130"/>
      <c r="C10" s="130"/>
      <c r="D10" s="130"/>
      <c r="E10" s="23">
        <v>5358</v>
      </c>
      <c r="F10" s="23">
        <v>4042</v>
      </c>
      <c r="G10" s="36">
        <f>E10+F10</f>
        <v>9400</v>
      </c>
      <c r="H10" s="57"/>
    </row>
    <row r="11" spans="1:13" ht="15.6" x14ac:dyDescent="0.3">
      <c r="A11" s="129" t="s">
        <v>23</v>
      </c>
      <c r="B11" s="130"/>
      <c r="C11" s="130"/>
      <c r="D11" s="130"/>
      <c r="E11" s="23">
        <v>4560</v>
      </c>
      <c r="F11" s="23">
        <v>3440</v>
      </c>
      <c r="G11" s="36">
        <f>E11+F11</f>
        <v>8000</v>
      </c>
      <c r="H11" s="57"/>
    </row>
    <row r="12" spans="1:13" ht="15.6" x14ac:dyDescent="0.3">
      <c r="A12" s="129" t="s">
        <v>28</v>
      </c>
      <c r="B12" s="130"/>
      <c r="C12" s="130"/>
      <c r="D12" s="130"/>
      <c r="E12" s="38">
        <v>2280</v>
      </c>
      <c r="F12" s="37">
        <v>1720</v>
      </c>
      <c r="G12" s="36">
        <f>E12+F12</f>
        <v>4000</v>
      </c>
      <c r="H12" s="57"/>
    </row>
    <row r="13" spans="1:13" ht="15.6" x14ac:dyDescent="0.3">
      <c r="A13" s="125" t="s">
        <v>29</v>
      </c>
      <c r="B13" s="126"/>
      <c r="C13" s="126"/>
      <c r="D13" s="127"/>
      <c r="E13" s="35">
        <f>E14+E15+E16</f>
        <v>13440</v>
      </c>
      <c r="F13" s="35">
        <f>F14+F15+F16</f>
        <v>7560</v>
      </c>
      <c r="G13" s="35">
        <f>G14+G15+G16</f>
        <v>21000</v>
      </c>
    </row>
    <row r="14" spans="1:13" ht="15.6" x14ac:dyDescent="0.3">
      <c r="A14" s="122" t="s">
        <v>67</v>
      </c>
      <c r="B14" s="123"/>
      <c r="C14" s="123"/>
      <c r="D14" s="124"/>
      <c r="E14" s="23">
        <v>1280</v>
      </c>
      <c r="F14" s="23">
        <v>720</v>
      </c>
      <c r="G14" s="36">
        <f t="shared" ref="G14:G27" si="0">E14+F14</f>
        <v>2000</v>
      </c>
    </row>
    <row r="15" spans="1:13" ht="15.6" x14ac:dyDescent="0.3">
      <c r="A15" s="122" t="s">
        <v>30</v>
      </c>
      <c r="B15" s="123"/>
      <c r="C15" s="123"/>
      <c r="D15" s="124"/>
      <c r="E15" s="23">
        <v>7680</v>
      </c>
      <c r="F15" s="23">
        <v>4320</v>
      </c>
      <c r="G15" s="36">
        <f t="shared" si="0"/>
        <v>12000</v>
      </c>
    </row>
    <row r="16" spans="1:13" ht="15.6" x14ac:dyDescent="0.3">
      <c r="A16" s="122" t="s">
        <v>31</v>
      </c>
      <c r="B16" s="123"/>
      <c r="C16" s="123"/>
      <c r="D16" s="124"/>
      <c r="E16" s="38">
        <v>4480</v>
      </c>
      <c r="F16" s="37">
        <v>2520</v>
      </c>
      <c r="G16" s="36">
        <f t="shared" si="0"/>
        <v>7000</v>
      </c>
    </row>
    <row r="17" spans="1:8" ht="15.6" x14ac:dyDescent="0.3">
      <c r="A17" s="125" t="s">
        <v>24</v>
      </c>
      <c r="B17" s="126"/>
      <c r="C17" s="126"/>
      <c r="D17" s="127"/>
      <c r="E17" s="35">
        <v>2560</v>
      </c>
      <c r="F17" s="35">
        <v>1440</v>
      </c>
      <c r="G17" s="35">
        <f t="shared" si="0"/>
        <v>4000</v>
      </c>
    </row>
    <row r="18" spans="1:8" ht="15.6" x14ac:dyDescent="0.3">
      <c r="A18" s="112" t="s">
        <v>68</v>
      </c>
      <c r="B18" s="128"/>
      <c r="C18" s="128"/>
      <c r="D18" s="128"/>
      <c r="E18" s="40">
        <v>3300</v>
      </c>
      <c r="F18" s="41">
        <v>2700</v>
      </c>
      <c r="G18" s="35">
        <f t="shared" si="0"/>
        <v>6000</v>
      </c>
    </row>
    <row r="19" spans="1:8" ht="15.6" x14ac:dyDescent="0.3">
      <c r="A19" s="112" t="s">
        <v>25</v>
      </c>
      <c r="B19" s="128"/>
      <c r="C19" s="128"/>
      <c r="D19" s="128"/>
      <c r="E19" s="39">
        <f>E20+E21+E22</f>
        <v>7410</v>
      </c>
      <c r="F19" s="39">
        <f>F20+F21+F22</f>
        <v>5590</v>
      </c>
      <c r="G19" s="35">
        <f t="shared" si="0"/>
        <v>13000</v>
      </c>
    </row>
    <row r="20" spans="1:8" ht="15.6" x14ac:dyDescent="0.3">
      <c r="A20" s="129" t="s">
        <v>76</v>
      </c>
      <c r="B20" s="130"/>
      <c r="C20" s="130"/>
      <c r="D20" s="130"/>
      <c r="E20" s="38">
        <v>1710</v>
      </c>
      <c r="F20" s="37">
        <v>1290</v>
      </c>
      <c r="G20" s="36">
        <f t="shared" si="0"/>
        <v>3000</v>
      </c>
    </row>
    <row r="21" spans="1:8" ht="15.6" x14ac:dyDescent="0.3">
      <c r="A21" s="180" t="s">
        <v>75</v>
      </c>
      <c r="B21" s="185"/>
      <c r="C21" s="185"/>
      <c r="D21" s="185"/>
      <c r="E21" s="38">
        <v>2850</v>
      </c>
      <c r="F21" s="37">
        <v>2150</v>
      </c>
      <c r="G21" s="36">
        <f t="shared" si="0"/>
        <v>5000</v>
      </c>
    </row>
    <row r="22" spans="1:8" x14ac:dyDescent="0.3">
      <c r="A22" s="180" t="s">
        <v>69</v>
      </c>
      <c r="B22" s="185"/>
      <c r="C22" s="185"/>
      <c r="D22" s="185"/>
      <c r="E22" s="23">
        <v>2850</v>
      </c>
      <c r="F22" s="23">
        <v>2150</v>
      </c>
      <c r="G22" s="36">
        <f t="shared" si="0"/>
        <v>5000</v>
      </c>
    </row>
    <row r="23" spans="1:8" x14ac:dyDescent="0.3">
      <c r="A23" s="117" t="s">
        <v>70</v>
      </c>
      <c r="B23" s="118"/>
      <c r="C23" s="118"/>
      <c r="D23" s="118"/>
      <c r="E23" s="39">
        <v>12000</v>
      </c>
      <c r="F23" s="39">
        <v>12000</v>
      </c>
      <c r="G23" s="35">
        <f t="shared" si="0"/>
        <v>24000</v>
      </c>
    </row>
    <row r="24" spans="1:8" x14ac:dyDescent="0.3">
      <c r="A24" s="114" t="s">
        <v>77</v>
      </c>
      <c r="B24" s="115"/>
      <c r="C24" s="115"/>
      <c r="D24" s="116"/>
      <c r="E24" s="39">
        <v>15000</v>
      </c>
      <c r="F24" s="39">
        <v>14000</v>
      </c>
      <c r="G24" s="35">
        <f t="shared" si="0"/>
        <v>29000</v>
      </c>
    </row>
    <row r="25" spans="1:8" x14ac:dyDescent="0.3">
      <c r="A25" s="114" t="s">
        <v>93</v>
      </c>
      <c r="B25" s="115"/>
      <c r="C25" s="115"/>
      <c r="D25" s="116"/>
      <c r="E25" s="39">
        <v>5900</v>
      </c>
      <c r="F25" s="39"/>
      <c r="G25" s="35">
        <f t="shared" si="0"/>
        <v>5900</v>
      </c>
    </row>
    <row r="26" spans="1:8" x14ac:dyDescent="0.3">
      <c r="A26" s="114" t="s">
        <v>94</v>
      </c>
      <c r="B26" s="115"/>
      <c r="C26" s="115"/>
      <c r="D26" s="116"/>
      <c r="E26" s="39"/>
      <c r="F26" s="39">
        <v>3600</v>
      </c>
      <c r="G26" s="35">
        <f t="shared" si="0"/>
        <v>3600</v>
      </c>
    </row>
    <row r="27" spans="1:8" ht="17.399999999999999" x14ac:dyDescent="0.3">
      <c r="A27" s="111" t="s">
        <v>32</v>
      </c>
      <c r="B27" s="111"/>
      <c r="C27" s="111"/>
      <c r="D27" s="111"/>
      <c r="E27" s="52">
        <f>E19+E18+E17+E13+E8+E23+E24+E25+E26</f>
        <v>72150</v>
      </c>
      <c r="F27" s="52">
        <f>F19+F18+F17+F13+F8+F23+F24+F25+F26</f>
        <v>56350</v>
      </c>
      <c r="G27" s="61">
        <f t="shared" si="0"/>
        <v>128500</v>
      </c>
    </row>
    <row r="28" spans="1:8" x14ac:dyDescent="0.3">
      <c r="A28" s="42"/>
      <c r="B28" s="42"/>
      <c r="C28" s="42"/>
      <c r="D28" s="42"/>
      <c r="E28" s="42"/>
      <c r="F28" s="42"/>
      <c r="G28" s="42"/>
      <c r="H28" s="42"/>
    </row>
    <row r="29" spans="1:8" x14ac:dyDescent="0.3">
      <c r="A29" s="42"/>
      <c r="B29" s="42"/>
      <c r="C29" s="42"/>
      <c r="D29" s="42"/>
      <c r="E29" s="42"/>
      <c r="F29" s="42"/>
      <c r="G29" s="42"/>
      <c r="H29" s="42"/>
    </row>
    <row r="30" spans="1:8" ht="15.6" x14ac:dyDescent="0.3">
      <c r="A30" s="43" t="s">
        <v>33</v>
      </c>
      <c r="B30" s="43"/>
      <c r="C30" s="43"/>
      <c r="D30" s="43"/>
      <c r="E30" s="43"/>
      <c r="F30" s="43"/>
      <c r="G30" s="27"/>
      <c r="H30" s="44">
        <v>20000</v>
      </c>
    </row>
    <row r="31" spans="1:8" ht="15.6" x14ac:dyDescent="0.3">
      <c r="A31" s="27"/>
      <c r="B31" s="27"/>
      <c r="C31" s="27"/>
      <c r="D31" s="27"/>
      <c r="E31" s="27"/>
      <c r="F31" s="27"/>
      <c r="G31" s="27"/>
      <c r="H31" s="27"/>
    </row>
    <row r="32" spans="1:8" ht="15.6" x14ac:dyDescent="0.3">
      <c r="A32" s="27" t="s">
        <v>17</v>
      </c>
      <c r="B32" s="27"/>
      <c r="C32" s="44" t="s">
        <v>89</v>
      </c>
      <c r="D32" s="27"/>
      <c r="E32" s="27"/>
      <c r="F32" s="27"/>
      <c r="G32" s="27"/>
      <c r="H32" s="27"/>
    </row>
    <row r="33" spans="1:9" ht="15.6" x14ac:dyDescent="0.3">
      <c r="A33" s="27" t="s">
        <v>8</v>
      </c>
      <c r="B33" s="27"/>
      <c r="C33" s="44" t="s">
        <v>90</v>
      </c>
      <c r="D33" s="27"/>
      <c r="E33" s="27"/>
      <c r="F33" s="27"/>
      <c r="G33" s="27"/>
      <c r="H33" s="27"/>
    </row>
    <row r="34" spans="1:9" x14ac:dyDescent="0.3">
      <c r="A34" s="42"/>
      <c r="B34" s="42"/>
      <c r="C34" s="42"/>
      <c r="D34" s="42"/>
      <c r="E34" s="42"/>
      <c r="F34" s="42"/>
      <c r="G34" s="42"/>
      <c r="H34" s="42"/>
    </row>
    <row r="36" spans="1:9" ht="17.399999999999999" x14ac:dyDescent="0.3">
      <c r="A36" s="96" t="s">
        <v>72</v>
      </c>
      <c r="B36" s="42"/>
      <c r="C36" s="42"/>
      <c r="D36" s="42"/>
      <c r="E36" s="42"/>
      <c r="F36" s="42"/>
      <c r="G36" s="42"/>
      <c r="H36" s="45">
        <f>G53</f>
        <v>141200</v>
      </c>
    </row>
    <row r="37" spans="1:9" x14ac:dyDescent="0.3">
      <c r="A37" s="42"/>
      <c r="B37" s="42"/>
      <c r="C37" s="42"/>
      <c r="D37" s="42"/>
      <c r="E37" s="42"/>
      <c r="F37" s="42"/>
      <c r="G37" s="42"/>
      <c r="H37" s="42"/>
    </row>
    <row r="38" spans="1:9" ht="15.6" x14ac:dyDescent="0.3">
      <c r="A38" s="112" t="s">
        <v>19</v>
      </c>
      <c r="B38" s="113"/>
      <c r="C38" s="113"/>
      <c r="D38" s="113"/>
      <c r="E38" s="184" t="s">
        <v>26</v>
      </c>
      <c r="F38" s="162"/>
      <c r="G38" s="162" t="s">
        <v>20</v>
      </c>
    </row>
    <row r="39" spans="1:9" ht="15.6" x14ac:dyDescent="0.3">
      <c r="A39" s="113"/>
      <c r="B39" s="113"/>
      <c r="C39" s="113"/>
      <c r="D39" s="113"/>
      <c r="E39" s="97" t="s">
        <v>7</v>
      </c>
      <c r="F39" s="34" t="s">
        <v>8</v>
      </c>
      <c r="G39" s="162"/>
    </row>
    <row r="40" spans="1:9" ht="15.6" x14ac:dyDescent="0.3">
      <c r="A40" s="129" t="s">
        <v>34</v>
      </c>
      <c r="B40" s="178"/>
      <c r="C40" s="178"/>
      <c r="D40" s="178"/>
      <c r="E40" s="74">
        <v>1500</v>
      </c>
      <c r="F40" s="74">
        <v>1500</v>
      </c>
      <c r="G40" s="90">
        <f t="shared" ref="G40:G52" si="1">E40+F40</f>
        <v>3000</v>
      </c>
      <c r="H40" s="75"/>
      <c r="I40" s="75"/>
    </row>
    <row r="41" spans="1:9" ht="15.6" x14ac:dyDescent="0.3">
      <c r="A41" s="129" t="s">
        <v>35</v>
      </c>
      <c r="B41" s="178"/>
      <c r="C41" s="178"/>
      <c r="D41" s="178"/>
      <c r="E41" s="23">
        <v>3000</v>
      </c>
      <c r="F41" s="23">
        <v>2000</v>
      </c>
      <c r="G41" s="36">
        <f t="shared" si="1"/>
        <v>5000</v>
      </c>
      <c r="H41" s="75"/>
      <c r="I41" s="75"/>
    </row>
    <row r="42" spans="1:9" ht="15.6" x14ac:dyDescent="0.3">
      <c r="A42" s="129" t="s">
        <v>36</v>
      </c>
      <c r="B42" s="178"/>
      <c r="C42" s="178"/>
      <c r="D42" s="178"/>
      <c r="E42" s="23">
        <v>1500</v>
      </c>
      <c r="F42" s="23">
        <v>1500</v>
      </c>
      <c r="G42" s="36">
        <f t="shared" si="1"/>
        <v>3000</v>
      </c>
      <c r="H42" s="75"/>
      <c r="I42" s="75"/>
    </row>
    <row r="43" spans="1:9" ht="15.6" x14ac:dyDescent="0.3">
      <c r="A43" s="129" t="s">
        <v>37</v>
      </c>
      <c r="B43" s="178"/>
      <c r="C43" s="178"/>
      <c r="D43" s="178"/>
      <c r="E43" s="23">
        <v>4900</v>
      </c>
      <c r="F43" s="74">
        <v>4900</v>
      </c>
      <c r="G43" s="36">
        <f t="shared" si="1"/>
        <v>9800</v>
      </c>
      <c r="H43" s="75"/>
      <c r="I43" s="75"/>
    </row>
    <row r="44" spans="1:9" ht="15.6" x14ac:dyDescent="0.3">
      <c r="A44" s="129" t="s">
        <v>38</v>
      </c>
      <c r="B44" s="178"/>
      <c r="C44" s="178"/>
      <c r="D44" s="178"/>
      <c r="E44" s="76">
        <v>3000</v>
      </c>
      <c r="F44" s="37">
        <v>3000</v>
      </c>
      <c r="G44" s="36">
        <f t="shared" si="1"/>
        <v>6000</v>
      </c>
      <c r="H44" s="75"/>
      <c r="I44" s="75"/>
    </row>
    <row r="45" spans="1:9" x14ac:dyDescent="0.3">
      <c r="A45" s="180" t="s">
        <v>84</v>
      </c>
      <c r="B45" s="181"/>
      <c r="C45" s="181"/>
      <c r="D45" s="181"/>
      <c r="E45" s="74">
        <v>6800</v>
      </c>
      <c r="F45" s="74">
        <v>6800</v>
      </c>
      <c r="G45" s="36">
        <f t="shared" si="1"/>
        <v>13600</v>
      </c>
      <c r="H45" s="75"/>
      <c r="I45" s="75"/>
    </row>
    <row r="46" spans="1:9" ht="15.6" x14ac:dyDescent="0.3">
      <c r="A46" s="129" t="s">
        <v>39</v>
      </c>
      <c r="B46" s="178"/>
      <c r="C46" s="178"/>
      <c r="D46" s="178"/>
      <c r="E46" s="23">
        <v>1500</v>
      </c>
      <c r="F46" s="23">
        <v>1400</v>
      </c>
      <c r="G46" s="36">
        <f t="shared" si="1"/>
        <v>2900</v>
      </c>
      <c r="H46" s="75"/>
      <c r="I46" s="75"/>
    </row>
    <row r="47" spans="1:9" x14ac:dyDescent="0.3">
      <c r="A47" s="180" t="s">
        <v>40</v>
      </c>
      <c r="B47" s="181"/>
      <c r="C47" s="181"/>
      <c r="D47" s="181"/>
      <c r="E47" s="23">
        <v>3000</v>
      </c>
      <c r="F47" s="23">
        <v>3000</v>
      </c>
      <c r="G47" s="36">
        <f t="shared" si="1"/>
        <v>6000</v>
      </c>
      <c r="H47" s="75"/>
      <c r="I47" s="75"/>
    </row>
    <row r="48" spans="1:9" ht="15.6" x14ac:dyDescent="0.3">
      <c r="A48" s="129" t="s">
        <v>87</v>
      </c>
      <c r="B48" s="178"/>
      <c r="C48" s="178"/>
      <c r="D48" s="178"/>
      <c r="E48" s="23">
        <v>20000</v>
      </c>
      <c r="F48" s="23">
        <v>18000</v>
      </c>
      <c r="G48" s="36">
        <f t="shared" si="1"/>
        <v>38000</v>
      </c>
      <c r="H48" s="75"/>
      <c r="I48" s="75"/>
    </row>
    <row r="49" spans="1:9" ht="15.6" x14ac:dyDescent="0.3">
      <c r="A49" s="129" t="s">
        <v>41</v>
      </c>
      <c r="B49" s="178"/>
      <c r="C49" s="178"/>
      <c r="D49" s="178"/>
      <c r="E49" s="37">
        <v>3000</v>
      </c>
      <c r="F49" s="37">
        <v>0</v>
      </c>
      <c r="G49" s="36">
        <f t="shared" si="1"/>
        <v>3000</v>
      </c>
      <c r="H49" s="75"/>
      <c r="I49" s="75"/>
    </row>
    <row r="50" spans="1:9" ht="15.6" x14ac:dyDescent="0.3">
      <c r="A50" s="129" t="s">
        <v>42</v>
      </c>
      <c r="B50" s="178"/>
      <c r="C50" s="178"/>
      <c r="D50" s="178"/>
      <c r="E50" s="37">
        <v>7200</v>
      </c>
      <c r="F50" s="37">
        <v>7200</v>
      </c>
      <c r="G50" s="36">
        <f t="shared" si="1"/>
        <v>14400</v>
      </c>
      <c r="H50" s="75"/>
      <c r="I50" s="75"/>
    </row>
    <row r="51" spans="1:9" ht="15.6" x14ac:dyDescent="0.3">
      <c r="A51" s="180" t="s">
        <v>85</v>
      </c>
      <c r="B51" s="181"/>
      <c r="C51" s="181"/>
      <c r="D51" s="181"/>
      <c r="E51" s="89">
        <v>14850</v>
      </c>
      <c r="F51" s="89">
        <v>8850</v>
      </c>
      <c r="G51" s="36">
        <f t="shared" si="1"/>
        <v>23700</v>
      </c>
      <c r="H51" s="75"/>
      <c r="I51" s="75"/>
    </row>
    <row r="52" spans="1:9" ht="15.6" x14ac:dyDescent="0.3">
      <c r="A52" s="175" t="s">
        <v>86</v>
      </c>
      <c r="B52" s="182"/>
      <c r="C52" s="182"/>
      <c r="D52" s="183"/>
      <c r="E52" s="89"/>
      <c r="F52" s="89">
        <v>12800</v>
      </c>
      <c r="G52" s="36">
        <f t="shared" si="1"/>
        <v>12800</v>
      </c>
      <c r="H52" s="75"/>
      <c r="I52" s="75"/>
    </row>
    <row r="53" spans="1:9" ht="17.399999999999999" x14ac:dyDescent="0.3">
      <c r="A53" s="111" t="s">
        <v>32</v>
      </c>
      <c r="B53" s="111"/>
      <c r="C53" s="111"/>
      <c r="D53" s="111"/>
      <c r="E53" s="52">
        <f>SUM(E40:E52)</f>
        <v>70250</v>
      </c>
      <c r="F53" s="52">
        <f>SUM(F40:F52)</f>
        <v>70950</v>
      </c>
      <c r="G53" s="52">
        <f>SUM(G40:G52)</f>
        <v>141200</v>
      </c>
    </row>
    <row r="54" spans="1:9" x14ac:dyDescent="0.3">
      <c r="A54" s="42"/>
      <c r="B54" s="42"/>
      <c r="C54" s="42"/>
      <c r="D54" s="42"/>
      <c r="E54" s="42"/>
      <c r="F54" s="42"/>
      <c r="G54" s="42"/>
      <c r="H54" s="42"/>
    </row>
  </sheetData>
  <mergeCells count="43">
    <mergeCell ref="B1:M1"/>
    <mergeCell ref="A2:L2"/>
    <mergeCell ref="A4:E4"/>
    <mergeCell ref="A6:D7"/>
    <mergeCell ref="E6:F6"/>
    <mergeCell ref="G6:G7"/>
    <mergeCell ref="A19:D19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G38:G39"/>
    <mergeCell ref="A40:D40"/>
    <mergeCell ref="A20:D20"/>
    <mergeCell ref="A21:D21"/>
    <mergeCell ref="A22:D22"/>
    <mergeCell ref="A23:D23"/>
    <mergeCell ref="A24:D24"/>
    <mergeCell ref="A25:D25"/>
    <mergeCell ref="A46:D46"/>
    <mergeCell ref="A26:D26"/>
    <mergeCell ref="A27:D27"/>
    <mergeCell ref="A38:D39"/>
    <mergeCell ref="E38:F38"/>
    <mergeCell ref="A41:D41"/>
    <mergeCell ref="A42:D42"/>
    <mergeCell ref="A43:D43"/>
    <mergeCell ref="A44:D44"/>
    <mergeCell ref="A45:D45"/>
    <mergeCell ref="A53:D53"/>
    <mergeCell ref="A47:D47"/>
    <mergeCell ref="A48:D48"/>
    <mergeCell ref="A49:D49"/>
    <mergeCell ref="A50:D50"/>
    <mergeCell ref="A51:D51"/>
    <mergeCell ref="A52:D52"/>
  </mergeCells>
  <pageMargins left="0.7" right="0.7" top="0.75" bottom="0.75" header="0.3" footer="0.3"/>
  <pageSetup paperSize="9" scale="83" orientation="portrait" r:id="rId1"/>
  <rowBreaks count="1" manualBreakCount="1">
    <brk id="35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2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Лист1!Область_друку</vt:lpstr>
      <vt:lpstr>Лист4!Область_друку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Тетяна Петренко</cp:lastModifiedBy>
  <cp:lastPrinted>2025-10-21T12:32:35Z</cp:lastPrinted>
  <dcterms:created xsi:type="dcterms:W3CDTF">2020-08-20T11:18:14Z</dcterms:created>
  <dcterms:modified xsi:type="dcterms:W3CDTF">2026-02-23T11:51:49Z</dcterms:modified>
</cp:coreProperties>
</file>